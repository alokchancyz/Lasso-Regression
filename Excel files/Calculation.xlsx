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tathon\seminar\"/>
    </mc:Choice>
  </mc:AlternateContent>
  <bookViews>
    <workbookView xWindow="0" yWindow="0" windowWidth="20490" windowHeight="8250"/>
  </bookViews>
  <sheets>
    <sheet name="Sheet1" sheetId="1" r:id="rId1"/>
    <sheet name="Sheet2" sheetId="2" r:id="rId2"/>
  </sheets>
  <definedNames>
    <definedName name="solver_adj" localSheetId="0" hidden="1">Sheet1!$B$446:$K$446,Sheet1!$B$447:$K$447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Sheet1!$B$447</definedName>
    <definedName name="solver_lhs2" localSheetId="0" hidden="1">Sheet1!$B$447</definedName>
    <definedName name="solver_lhs3" localSheetId="0" hidden="1">Sheet1!$B$447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Sheet1!$B$453</definedName>
    <definedName name="solver_pre" localSheetId="0" hidden="1">0.0001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Sheet1!$B$446</definedName>
    <definedName name="solver_rhs2" localSheetId="0" hidden="1">-Sheet1!$B$446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2" i="1" l="1"/>
  <c r="M443" i="1"/>
  <c r="N443" i="1" s="1"/>
  <c r="O443" i="1" s="1"/>
  <c r="M442" i="1"/>
  <c r="N442" i="1" s="1"/>
  <c r="O442" i="1" s="1"/>
  <c r="M441" i="1"/>
  <c r="N441" i="1" s="1"/>
  <c r="O441" i="1" s="1"/>
  <c r="M440" i="1"/>
  <c r="N440" i="1" s="1"/>
  <c r="O440" i="1" s="1"/>
  <c r="M439" i="1"/>
  <c r="N439" i="1" s="1"/>
  <c r="O439" i="1" s="1"/>
  <c r="M438" i="1"/>
  <c r="N438" i="1" s="1"/>
  <c r="O438" i="1" s="1"/>
  <c r="M437" i="1"/>
  <c r="N437" i="1" s="1"/>
  <c r="O437" i="1" s="1"/>
  <c r="M436" i="1"/>
  <c r="N436" i="1" s="1"/>
  <c r="O436" i="1" s="1"/>
  <c r="M435" i="1"/>
  <c r="N435" i="1" s="1"/>
  <c r="O435" i="1" s="1"/>
  <c r="M434" i="1"/>
  <c r="N434" i="1" s="1"/>
  <c r="O434" i="1" s="1"/>
  <c r="M433" i="1"/>
  <c r="N433" i="1" s="1"/>
  <c r="O433" i="1" s="1"/>
  <c r="M432" i="1"/>
  <c r="N432" i="1" s="1"/>
  <c r="O432" i="1" s="1"/>
  <c r="M431" i="1"/>
  <c r="N431" i="1" s="1"/>
  <c r="O431" i="1" s="1"/>
  <c r="M430" i="1"/>
  <c r="N430" i="1" s="1"/>
  <c r="O430" i="1" s="1"/>
  <c r="M429" i="1"/>
  <c r="N429" i="1" s="1"/>
  <c r="O429" i="1" s="1"/>
  <c r="M428" i="1"/>
  <c r="N428" i="1" s="1"/>
  <c r="O428" i="1" s="1"/>
  <c r="M427" i="1"/>
  <c r="N427" i="1" s="1"/>
  <c r="O427" i="1" s="1"/>
  <c r="M426" i="1"/>
  <c r="N426" i="1" s="1"/>
  <c r="O426" i="1" s="1"/>
  <c r="M425" i="1"/>
  <c r="N425" i="1" s="1"/>
  <c r="O425" i="1" s="1"/>
  <c r="M424" i="1"/>
  <c r="N424" i="1" s="1"/>
  <c r="O424" i="1" s="1"/>
  <c r="M423" i="1"/>
  <c r="N423" i="1" s="1"/>
  <c r="O423" i="1" s="1"/>
  <c r="M422" i="1"/>
  <c r="N422" i="1" s="1"/>
  <c r="O422" i="1" s="1"/>
  <c r="M421" i="1"/>
  <c r="N421" i="1" s="1"/>
  <c r="O421" i="1" s="1"/>
  <c r="M420" i="1"/>
  <c r="N420" i="1" s="1"/>
  <c r="O420" i="1" s="1"/>
  <c r="M419" i="1"/>
  <c r="N419" i="1" s="1"/>
  <c r="O419" i="1" s="1"/>
  <c r="M418" i="1"/>
  <c r="N418" i="1" s="1"/>
  <c r="O418" i="1" s="1"/>
  <c r="M417" i="1"/>
  <c r="N417" i="1" s="1"/>
  <c r="O417" i="1" s="1"/>
  <c r="M416" i="1"/>
  <c r="N416" i="1" s="1"/>
  <c r="O416" i="1" s="1"/>
  <c r="M415" i="1"/>
  <c r="N415" i="1" s="1"/>
  <c r="O415" i="1" s="1"/>
  <c r="M414" i="1"/>
  <c r="N414" i="1" s="1"/>
  <c r="O414" i="1" s="1"/>
  <c r="M413" i="1"/>
  <c r="N413" i="1" s="1"/>
  <c r="O413" i="1" s="1"/>
  <c r="M412" i="1"/>
  <c r="N412" i="1" s="1"/>
  <c r="O412" i="1" s="1"/>
  <c r="M411" i="1"/>
  <c r="N411" i="1" s="1"/>
  <c r="O411" i="1" s="1"/>
  <c r="M410" i="1"/>
  <c r="N410" i="1" s="1"/>
  <c r="O410" i="1" s="1"/>
  <c r="M409" i="1"/>
  <c r="N409" i="1" s="1"/>
  <c r="O409" i="1" s="1"/>
  <c r="M408" i="1"/>
  <c r="N408" i="1" s="1"/>
  <c r="O408" i="1" s="1"/>
  <c r="M407" i="1"/>
  <c r="N407" i="1" s="1"/>
  <c r="O407" i="1" s="1"/>
  <c r="M406" i="1"/>
  <c r="N406" i="1" s="1"/>
  <c r="O406" i="1" s="1"/>
  <c r="M405" i="1"/>
  <c r="N405" i="1" s="1"/>
  <c r="O405" i="1" s="1"/>
  <c r="M404" i="1"/>
  <c r="N404" i="1" s="1"/>
  <c r="O404" i="1" s="1"/>
  <c r="M403" i="1"/>
  <c r="N403" i="1" s="1"/>
  <c r="O403" i="1" s="1"/>
  <c r="M402" i="1"/>
  <c r="N402" i="1" s="1"/>
  <c r="O402" i="1" s="1"/>
  <c r="M401" i="1"/>
  <c r="N401" i="1" s="1"/>
  <c r="O401" i="1" s="1"/>
  <c r="M400" i="1"/>
  <c r="N400" i="1" s="1"/>
  <c r="O400" i="1" s="1"/>
  <c r="M399" i="1"/>
  <c r="N399" i="1" s="1"/>
  <c r="O399" i="1" s="1"/>
  <c r="M398" i="1"/>
  <c r="N398" i="1" s="1"/>
  <c r="O398" i="1" s="1"/>
  <c r="M397" i="1"/>
  <c r="N397" i="1" s="1"/>
  <c r="O397" i="1" s="1"/>
  <c r="M396" i="1"/>
  <c r="N396" i="1" s="1"/>
  <c r="O396" i="1" s="1"/>
  <c r="M395" i="1"/>
  <c r="N395" i="1" s="1"/>
  <c r="O395" i="1" s="1"/>
  <c r="M394" i="1"/>
  <c r="N394" i="1" s="1"/>
  <c r="O394" i="1" s="1"/>
  <c r="M393" i="1"/>
  <c r="N393" i="1" s="1"/>
  <c r="O393" i="1" s="1"/>
  <c r="M392" i="1"/>
  <c r="N392" i="1" s="1"/>
  <c r="O392" i="1" s="1"/>
  <c r="M391" i="1"/>
  <c r="N391" i="1" s="1"/>
  <c r="O391" i="1" s="1"/>
  <c r="M390" i="1"/>
  <c r="N390" i="1" s="1"/>
  <c r="O390" i="1" s="1"/>
  <c r="M389" i="1"/>
  <c r="N389" i="1" s="1"/>
  <c r="O389" i="1" s="1"/>
  <c r="M388" i="1"/>
  <c r="N388" i="1" s="1"/>
  <c r="O388" i="1" s="1"/>
  <c r="M387" i="1"/>
  <c r="N387" i="1" s="1"/>
  <c r="O387" i="1" s="1"/>
  <c r="M386" i="1"/>
  <c r="N386" i="1" s="1"/>
  <c r="O386" i="1" s="1"/>
  <c r="M385" i="1"/>
  <c r="N385" i="1" s="1"/>
  <c r="O385" i="1" s="1"/>
  <c r="M384" i="1"/>
  <c r="N384" i="1" s="1"/>
  <c r="O384" i="1" s="1"/>
  <c r="M383" i="1"/>
  <c r="N383" i="1" s="1"/>
  <c r="O383" i="1" s="1"/>
  <c r="M382" i="1"/>
  <c r="N382" i="1" s="1"/>
  <c r="O382" i="1" s="1"/>
  <c r="M381" i="1"/>
  <c r="N381" i="1" s="1"/>
  <c r="O381" i="1" s="1"/>
  <c r="M380" i="1"/>
  <c r="N380" i="1" s="1"/>
  <c r="O380" i="1" s="1"/>
  <c r="M379" i="1"/>
  <c r="N379" i="1" s="1"/>
  <c r="O379" i="1" s="1"/>
  <c r="M378" i="1"/>
  <c r="N378" i="1" s="1"/>
  <c r="O378" i="1" s="1"/>
  <c r="M377" i="1"/>
  <c r="N377" i="1" s="1"/>
  <c r="O377" i="1" s="1"/>
  <c r="M376" i="1"/>
  <c r="N376" i="1" s="1"/>
  <c r="O376" i="1" s="1"/>
  <c r="M375" i="1"/>
  <c r="N375" i="1" s="1"/>
  <c r="O375" i="1" s="1"/>
  <c r="M374" i="1"/>
  <c r="N374" i="1" s="1"/>
  <c r="O374" i="1" s="1"/>
  <c r="M373" i="1"/>
  <c r="N373" i="1" s="1"/>
  <c r="O373" i="1" s="1"/>
  <c r="M372" i="1"/>
  <c r="N372" i="1" s="1"/>
  <c r="O372" i="1" s="1"/>
  <c r="M371" i="1"/>
  <c r="N371" i="1" s="1"/>
  <c r="O371" i="1" s="1"/>
  <c r="M370" i="1"/>
  <c r="N370" i="1" s="1"/>
  <c r="O370" i="1" s="1"/>
  <c r="M369" i="1"/>
  <c r="N369" i="1" s="1"/>
  <c r="O369" i="1" s="1"/>
  <c r="M368" i="1"/>
  <c r="N368" i="1" s="1"/>
  <c r="O368" i="1" s="1"/>
  <c r="M367" i="1"/>
  <c r="N367" i="1" s="1"/>
  <c r="O367" i="1" s="1"/>
  <c r="M366" i="1"/>
  <c r="N366" i="1" s="1"/>
  <c r="O366" i="1" s="1"/>
  <c r="M365" i="1"/>
  <c r="N365" i="1" s="1"/>
  <c r="O365" i="1" s="1"/>
  <c r="M364" i="1"/>
  <c r="N364" i="1" s="1"/>
  <c r="O364" i="1" s="1"/>
  <c r="M363" i="1"/>
  <c r="N363" i="1" s="1"/>
  <c r="O363" i="1" s="1"/>
  <c r="M362" i="1"/>
  <c r="N362" i="1" s="1"/>
  <c r="O362" i="1" s="1"/>
  <c r="M361" i="1"/>
  <c r="N361" i="1" s="1"/>
  <c r="O361" i="1" s="1"/>
  <c r="M360" i="1"/>
  <c r="N360" i="1" s="1"/>
  <c r="O360" i="1" s="1"/>
  <c r="M359" i="1"/>
  <c r="N359" i="1" s="1"/>
  <c r="O359" i="1" s="1"/>
  <c r="M358" i="1"/>
  <c r="N358" i="1" s="1"/>
  <c r="O358" i="1" s="1"/>
  <c r="M357" i="1"/>
  <c r="N357" i="1" s="1"/>
  <c r="O357" i="1" s="1"/>
  <c r="M356" i="1"/>
  <c r="N356" i="1" s="1"/>
  <c r="O356" i="1" s="1"/>
  <c r="M355" i="1"/>
  <c r="N355" i="1" s="1"/>
  <c r="O355" i="1" s="1"/>
  <c r="M354" i="1"/>
  <c r="N354" i="1" s="1"/>
  <c r="O354" i="1" s="1"/>
  <c r="M353" i="1"/>
  <c r="N353" i="1" s="1"/>
  <c r="O353" i="1" s="1"/>
  <c r="M352" i="1"/>
  <c r="N352" i="1" s="1"/>
  <c r="O352" i="1" s="1"/>
  <c r="M351" i="1"/>
  <c r="N351" i="1" s="1"/>
  <c r="O351" i="1" s="1"/>
  <c r="M350" i="1"/>
  <c r="N350" i="1" s="1"/>
  <c r="O350" i="1" s="1"/>
  <c r="M349" i="1"/>
  <c r="N349" i="1" s="1"/>
  <c r="O349" i="1" s="1"/>
  <c r="M348" i="1"/>
  <c r="N348" i="1" s="1"/>
  <c r="O348" i="1" s="1"/>
  <c r="M347" i="1"/>
  <c r="N347" i="1" s="1"/>
  <c r="O347" i="1" s="1"/>
  <c r="M346" i="1"/>
  <c r="N346" i="1" s="1"/>
  <c r="O346" i="1" s="1"/>
  <c r="M345" i="1"/>
  <c r="N345" i="1" s="1"/>
  <c r="O345" i="1" s="1"/>
  <c r="M344" i="1"/>
  <c r="N344" i="1" s="1"/>
  <c r="O344" i="1" s="1"/>
  <c r="M343" i="1"/>
  <c r="N343" i="1" s="1"/>
  <c r="O343" i="1" s="1"/>
  <c r="M342" i="1"/>
  <c r="N342" i="1" s="1"/>
  <c r="O342" i="1" s="1"/>
  <c r="M341" i="1"/>
  <c r="N341" i="1" s="1"/>
  <c r="O341" i="1" s="1"/>
  <c r="M340" i="1"/>
  <c r="N340" i="1" s="1"/>
  <c r="O340" i="1" s="1"/>
  <c r="M339" i="1"/>
  <c r="N339" i="1" s="1"/>
  <c r="O339" i="1" s="1"/>
  <c r="M338" i="1"/>
  <c r="N338" i="1" s="1"/>
  <c r="O338" i="1" s="1"/>
  <c r="M337" i="1"/>
  <c r="N337" i="1" s="1"/>
  <c r="O337" i="1" s="1"/>
  <c r="M336" i="1"/>
  <c r="N336" i="1" s="1"/>
  <c r="O336" i="1" s="1"/>
  <c r="M335" i="1"/>
  <c r="N335" i="1" s="1"/>
  <c r="O335" i="1" s="1"/>
  <c r="M334" i="1"/>
  <c r="N334" i="1" s="1"/>
  <c r="O334" i="1" s="1"/>
  <c r="M333" i="1"/>
  <c r="N333" i="1" s="1"/>
  <c r="O333" i="1" s="1"/>
  <c r="M332" i="1"/>
  <c r="N332" i="1" s="1"/>
  <c r="O332" i="1" s="1"/>
  <c r="M331" i="1"/>
  <c r="N331" i="1" s="1"/>
  <c r="O331" i="1" s="1"/>
  <c r="M330" i="1"/>
  <c r="N330" i="1" s="1"/>
  <c r="O330" i="1" s="1"/>
  <c r="M329" i="1"/>
  <c r="N329" i="1" s="1"/>
  <c r="O329" i="1" s="1"/>
  <c r="M328" i="1"/>
  <c r="N328" i="1" s="1"/>
  <c r="O328" i="1" s="1"/>
  <c r="M327" i="1"/>
  <c r="N327" i="1" s="1"/>
  <c r="O327" i="1" s="1"/>
  <c r="M326" i="1"/>
  <c r="N326" i="1" s="1"/>
  <c r="O326" i="1" s="1"/>
  <c r="M325" i="1"/>
  <c r="N325" i="1" s="1"/>
  <c r="O325" i="1" s="1"/>
  <c r="M324" i="1"/>
  <c r="N324" i="1" s="1"/>
  <c r="O324" i="1" s="1"/>
  <c r="M323" i="1"/>
  <c r="N323" i="1" s="1"/>
  <c r="O323" i="1" s="1"/>
  <c r="M322" i="1"/>
  <c r="N322" i="1" s="1"/>
  <c r="O322" i="1" s="1"/>
  <c r="M321" i="1"/>
  <c r="N321" i="1" s="1"/>
  <c r="O321" i="1" s="1"/>
  <c r="M320" i="1"/>
  <c r="N320" i="1" s="1"/>
  <c r="O320" i="1" s="1"/>
  <c r="M319" i="1"/>
  <c r="N319" i="1" s="1"/>
  <c r="O319" i="1" s="1"/>
  <c r="M318" i="1"/>
  <c r="N318" i="1" s="1"/>
  <c r="O318" i="1" s="1"/>
  <c r="M317" i="1"/>
  <c r="N317" i="1" s="1"/>
  <c r="O317" i="1" s="1"/>
  <c r="M316" i="1"/>
  <c r="N316" i="1" s="1"/>
  <c r="O316" i="1" s="1"/>
  <c r="M315" i="1"/>
  <c r="N315" i="1" s="1"/>
  <c r="O315" i="1" s="1"/>
  <c r="M314" i="1"/>
  <c r="N314" i="1" s="1"/>
  <c r="O314" i="1" s="1"/>
  <c r="M313" i="1"/>
  <c r="N313" i="1" s="1"/>
  <c r="O313" i="1" s="1"/>
  <c r="M312" i="1"/>
  <c r="N312" i="1" s="1"/>
  <c r="O312" i="1" s="1"/>
  <c r="M311" i="1"/>
  <c r="N311" i="1" s="1"/>
  <c r="O311" i="1" s="1"/>
  <c r="M310" i="1"/>
  <c r="N310" i="1" s="1"/>
  <c r="O310" i="1" s="1"/>
  <c r="M309" i="1"/>
  <c r="N309" i="1" s="1"/>
  <c r="O309" i="1" s="1"/>
  <c r="M308" i="1"/>
  <c r="N308" i="1" s="1"/>
  <c r="O308" i="1" s="1"/>
  <c r="M307" i="1"/>
  <c r="N307" i="1" s="1"/>
  <c r="O307" i="1" s="1"/>
  <c r="M306" i="1"/>
  <c r="N306" i="1" s="1"/>
  <c r="O306" i="1" s="1"/>
  <c r="M305" i="1"/>
  <c r="N305" i="1" s="1"/>
  <c r="O305" i="1" s="1"/>
  <c r="M304" i="1"/>
  <c r="N304" i="1" s="1"/>
  <c r="O304" i="1" s="1"/>
  <c r="M303" i="1"/>
  <c r="N303" i="1" s="1"/>
  <c r="O303" i="1" s="1"/>
  <c r="M302" i="1"/>
  <c r="N302" i="1" s="1"/>
  <c r="O302" i="1" s="1"/>
  <c r="M301" i="1"/>
  <c r="N301" i="1" s="1"/>
  <c r="O301" i="1" s="1"/>
  <c r="M300" i="1"/>
  <c r="N300" i="1" s="1"/>
  <c r="O300" i="1" s="1"/>
  <c r="M299" i="1"/>
  <c r="N299" i="1" s="1"/>
  <c r="O299" i="1" s="1"/>
  <c r="M298" i="1"/>
  <c r="N298" i="1" s="1"/>
  <c r="O298" i="1" s="1"/>
  <c r="M297" i="1"/>
  <c r="N297" i="1" s="1"/>
  <c r="O297" i="1" s="1"/>
  <c r="M296" i="1"/>
  <c r="N296" i="1" s="1"/>
  <c r="O296" i="1" s="1"/>
  <c r="M295" i="1"/>
  <c r="N295" i="1" s="1"/>
  <c r="O295" i="1" s="1"/>
  <c r="M294" i="1"/>
  <c r="N294" i="1" s="1"/>
  <c r="O294" i="1" s="1"/>
  <c r="M293" i="1"/>
  <c r="N293" i="1" s="1"/>
  <c r="O293" i="1" s="1"/>
  <c r="M292" i="1"/>
  <c r="N292" i="1" s="1"/>
  <c r="O292" i="1" s="1"/>
  <c r="M291" i="1"/>
  <c r="N291" i="1" s="1"/>
  <c r="O291" i="1" s="1"/>
  <c r="M290" i="1"/>
  <c r="N290" i="1" s="1"/>
  <c r="O290" i="1" s="1"/>
  <c r="M289" i="1"/>
  <c r="N289" i="1" s="1"/>
  <c r="O289" i="1" s="1"/>
  <c r="M288" i="1"/>
  <c r="N288" i="1" s="1"/>
  <c r="O288" i="1" s="1"/>
  <c r="M287" i="1"/>
  <c r="N287" i="1" s="1"/>
  <c r="O287" i="1" s="1"/>
  <c r="M286" i="1"/>
  <c r="N286" i="1" s="1"/>
  <c r="O286" i="1" s="1"/>
  <c r="M285" i="1"/>
  <c r="N285" i="1" s="1"/>
  <c r="O285" i="1" s="1"/>
  <c r="M284" i="1"/>
  <c r="N284" i="1" s="1"/>
  <c r="O284" i="1" s="1"/>
  <c r="M283" i="1"/>
  <c r="N283" i="1" s="1"/>
  <c r="O283" i="1" s="1"/>
  <c r="M282" i="1"/>
  <c r="N282" i="1" s="1"/>
  <c r="O282" i="1" s="1"/>
  <c r="M281" i="1"/>
  <c r="N281" i="1" s="1"/>
  <c r="O281" i="1" s="1"/>
  <c r="M280" i="1"/>
  <c r="N280" i="1" s="1"/>
  <c r="O280" i="1" s="1"/>
  <c r="M279" i="1"/>
  <c r="N279" i="1" s="1"/>
  <c r="O279" i="1" s="1"/>
  <c r="M278" i="1"/>
  <c r="N278" i="1" s="1"/>
  <c r="O278" i="1" s="1"/>
  <c r="M277" i="1"/>
  <c r="N277" i="1" s="1"/>
  <c r="O277" i="1" s="1"/>
  <c r="M276" i="1"/>
  <c r="N276" i="1" s="1"/>
  <c r="O276" i="1" s="1"/>
  <c r="M275" i="1"/>
  <c r="N275" i="1" s="1"/>
  <c r="O275" i="1" s="1"/>
  <c r="M274" i="1"/>
  <c r="N274" i="1" s="1"/>
  <c r="O274" i="1" s="1"/>
  <c r="M273" i="1"/>
  <c r="N273" i="1" s="1"/>
  <c r="O273" i="1" s="1"/>
  <c r="M272" i="1"/>
  <c r="N272" i="1" s="1"/>
  <c r="O272" i="1" s="1"/>
  <c r="M271" i="1"/>
  <c r="N271" i="1" s="1"/>
  <c r="O271" i="1" s="1"/>
  <c r="M270" i="1"/>
  <c r="N270" i="1" s="1"/>
  <c r="O270" i="1" s="1"/>
  <c r="M269" i="1"/>
  <c r="N269" i="1" s="1"/>
  <c r="O269" i="1" s="1"/>
  <c r="M268" i="1"/>
  <c r="N268" i="1" s="1"/>
  <c r="O268" i="1" s="1"/>
  <c r="M267" i="1"/>
  <c r="N267" i="1" s="1"/>
  <c r="O267" i="1" s="1"/>
  <c r="M266" i="1"/>
  <c r="N266" i="1" s="1"/>
  <c r="O266" i="1" s="1"/>
  <c r="M265" i="1"/>
  <c r="N265" i="1" s="1"/>
  <c r="O265" i="1" s="1"/>
  <c r="M264" i="1"/>
  <c r="N264" i="1" s="1"/>
  <c r="O264" i="1" s="1"/>
  <c r="M263" i="1"/>
  <c r="N263" i="1" s="1"/>
  <c r="O263" i="1" s="1"/>
  <c r="M262" i="1"/>
  <c r="N262" i="1" s="1"/>
  <c r="O262" i="1" s="1"/>
  <c r="M261" i="1"/>
  <c r="N261" i="1" s="1"/>
  <c r="O261" i="1" s="1"/>
  <c r="M260" i="1"/>
  <c r="N260" i="1" s="1"/>
  <c r="O260" i="1" s="1"/>
  <c r="M259" i="1"/>
  <c r="N259" i="1" s="1"/>
  <c r="O259" i="1" s="1"/>
  <c r="M258" i="1"/>
  <c r="N258" i="1" s="1"/>
  <c r="O258" i="1" s="1"/>
  <c r="M257" i="1"/>
  <c r="N257" i="1" s="1"/>
  <c r="O257" i="1" s="1"/>
  <c r="M256" i="1"/>
  <c r="N256" i="1" s="1"/>
  <c r="O256" i="1" s="1"/>
  <c r="M255" i="1"/>
  <c r="N255" i="1" s="1"/>
  <c r="O255" i="1" s="1"/>
  <c r="M254" i="1"/>
  <c r="N254" i="1" s="1"/>
  <c r="O254" i="1" s="1"/>
  <c r="M253" i="1"/>
  <c r="N253" i="1" s="1"/>
  <c r="O253" i="1" s="1"/>
  <c r="M252" i="1"/>
  <c r="N252" i="1" s="1"/>
  <c r="O252" i="1" s="1"/>
  <c r="M251" i="1"/>
  <c r="N251" i="1" s="1"/>
  <c r="O251" i="1" s="1"/>
  <c r="M250" i="1"/>
  <c r="N250" i="1" s="1"/>
  <c r="O250" i="1" s="1"/>
  <c r="M249" i="1"/>
  <c r="N249" i="1" s="1"/>
  <c r="O249" i="1" s="1"/>
  <c r="M248" i="1"/>
  <c r="N248" i="1" s="1"/>
  <c r="O248" i="1" s="1"/>
  <c r="M247" i="1"/>
  <c r="N247" i="1" s="1"/>
  <c r="O247" i="1" s="1"/>
  <c r="M246" i="1"/>
  <c r="N246" i="1" s="1"/>
  <c r="O246" i="1" s="1"/>
  <c r="M245" i="1"/>
  <c r="N245" i="1" s="1"/>
  <c r="O245" i="1" s="1"/>
  <c r="M244" i="1"/>
  <c r="N244" i="1" s="1"/>
  <c r="O244" i="1" s="1"/>
  <c r="M243" i="1"/>
  <c r="N243" i="1" s="1"/>
  <c r="O243" i="1" s="1"/>
  <c r="M242" i="1"/>
  <c r="N242" i="1" s="1"/>
  <c r="O242" i="1" s="1"/>
  <c r="M241" i="1"/>
  <c r="N241" i="1" s="1"/>
  <c r="O241" i="1" s="1"/>
  <c r="M240" i="1"/>
  <c r="N240" i="1" s="1"/>
  <c r="O240" i="1" s="1"/>
  <c r="M239" i="1"/>
  <c r="N239" i="1" s="1"/>
  <c r="O239" i="1" s="1"/>
  <c r="M238" i="1"/>
  <c r="N238" i="1" s="1"/>
  <c r="O238" i="1" s="1"/>
  <c r="M237" i="1"/>
  <c r="N237" i="1" s="1"/>
  <c r="O237" i="1" s="1"/>
  <c r="M236" i="1"/>
  <c r="N236" i="1" s="1"/>
  <c r="O236" i="1" s="1"/>
  <c r="M235" i="1"/>
  <c r="N235" i="1" s="1"/>
  <c r="O235" i="1" s="1"/>
  <c r="M234" i="1"/>
  <c r="N234" i="1" s="1"/>
  <c r="O234" i="1" s="1"/>
  <c r="M233" i="1"/>
  <c r="N233" i="1" s="1"/>
  <c r="O233" i="1" s="1"/>
  <c r="M232" i="1"/>
  <c r="N232" i="1" s="1"/>
  <c r="O232" i="1" s="1"/>
  <c r="M231" i="1"/>
  <c r="N231" i="1" s="1"/>
  <c r="O231" i="1" s="1"/>
  <c r="M230" i="1"/>
  <c r="N230" i="1" s="1"/>
  <c r="O230" i="1" s="1"/>
  <c r="M229" i="1"/>
  <c r="N229" i="1" s="1"/>
  <c r="O229" i="1" s="1"/>
  <c r="M228" i="1"/>
  <c r="N228" i="1" s="1"/>
  <c r="O228" i="1" s="1"/>
  <c r="M227" i="1"/>
  <c r="N227" i="1" s="1"/>
  <c r="O227" i="1" s="1"/>
  <c r="M226" i="1"/>
  <c r="N226" i="1" s="1"/>
  <c r="O226" i="1" s="1"/>
  <c r="M225" i="1"/>
  <c r="N225" i="1" s="1"/>
  <c r="O225" i="1" s="1"/>
  <c r="M224" i="1"/>
  <c r="N224" i="1" s="1"/>
  <c r="O224" i="1" s="1"/>
  <c r="M223" i="1"/>
  <c r="N223" i="1" s="1"/>
  <c r="O223" i="1" s="1"/>
  <c r="M222" i="1"/>
  <c r="N222" i="1" s="1"/>
  <c r="O222" i="1" s="1"/>
  <c r="M221" i="1"/>
  <c r="N221" i="1" s="1"/>
  <c r="O221" i="1" s="1"/>
  <c r="M220" i="1"/>
  <c r="N220" i="1" s="1"/>
  <c r="O220" i="1" s="1"/>
  <c r="M219" i="1"/>
  <c r="N219" i="1" s="1"/>
  <c r="O219" i="1" s="1"/>
  <c r="M218" i="1"/>
  <c r="N218" i="1" s="1"/>
  <c r="O218" i="1" s="1"/>
  <c r="M217" i="1"/>
  <c r="N217" i="1" s="1"/>
  <c r="O217" i="1" s="1"/>
  <c r="M216" i="1"/>
  <c r="N216" i="1" s="1"/>
  <c r="O216" i="1" s="1"/>
  <c r="M215" i="1"/>
  <c r="N215" i="1" s="1"/>
  <c r="O215" i="1" s="1"/>
  <c r="M214" i="1"/>
  <c r="N214" i="1" s="1"/>
  <c r="O214" i="1" s="1"/>
  <c r="M213" i="1"/>
  <c r="N213" i="1" s="1"/>
  <c r="O213" i="1" s="1"/>
  <c r="M212" i="1"/>
  <c r="N212" i="1" s="1"/>
  <c r="O212" i="1" s="1"/>
  <c r="M211" i="1"/>
  <c r="N211" i="1" s="1"/>
  <c r="O211" i="1" s="1"/>
  <c r="M210" i="1"/>
  <c r="N210" i="1" s="1"/>
  <c r="O210" i="1" s="1"/>
  <c r="M209" i="1"/>
  <c r="N209" i="1" s="1"/>
  <c r="O209" i="1" s="1"/>
  <c r="M208" i="1"/>
  <c r="N208" i="1" s="1"/>
  <c r="O208" i="1" s="1"/>
  <c r="M207" i="1"/>
  <c r="N207" i="1" s="1"/>
  <c r="O207" i="1" s="1"/>
  <c r="M206" i="1"/>
  <c r="N206" i="1" s="1"/>
  <c r="O206" i="1" s="1"/>
  <c r="M205" i="1"/>
  <c r="N205" i="1" s="1"/>
  <c r="O205" i="1" s="1"/>
  <c r="M204" i="1"/>
  <c r="N204" i="1" s="1"/>
  <c r="O204" i="1" s="1"/>
  <c r="M203" i="1"/>
  <c r="N203" i="1" s="1"/>
  <c r="O203" i="1" s="1"/>
  <c r="M202" i="1"/>
  <c r="N202" i="1" s="1"/>
  <c r="O202" i="1" s="1"/>
  <c r="M201" i="1"/>
  <c r="N201" i="1" s="1"/>
  <c r="O201" i="1" s="1"/>
  <c r="M200" i="1"/>
  <c r="N200" i="1" s="1"/>
  <c r="O200" i="1" s="1"/>
  <c r="M199" i="1"/>
  <c r="N199" i="1" s="1"/>
  <c r="O199" i="1" s="1"/>
  <c r="M198" i="1"/>
  <c r="N198" i="1" s="1"/>
  <c r="O198" i="1" s="1"/>
  <c r="M197" i="1"/>
  <c r="N197" i="1" s="1"/>
  <c r="O197" i="1" s="1"/>
  <c r="M196" i="1"/>
  <c r="N196" i="1" s="1"/>
  <c r="O196" i="1" s="1"/>
  <c r="M195" i="1"/>
  <c r="N195" i="1" s="1"/>
  <c r="O195" i="1" s="1"/>
  <c r="M194" i="1"/>
  <c r="N194" i="1" s="1"/>
  <c r="O194" i="1" s="1"/>
  <c r="M193" i="1"/>
  <c r="N193" i="1" s="1"/>
  <c r="O193" i="1" s="1"/>
  <c r="M192" i="1"/>
  <c r="N192" i="1" s="1"/>
  <c r="O192" i="1" s="1"/>
  <c r="M191" i="1"/>
  <c r="N191" i="1" s="1"/>
  <c r="O191" i="1" s="1"/>
  <c r="M190" i="1"/>
  <c r="N190" i="1" s="1"/>
  <c r="O190" i="1" s="1"/>
  <c r="M189" i="1"/>
  <c r="N189" i="1" s="1"/>
  <c r="O189" i="1" s="1"/>
  <c r="M188" i="1"/>
  <c r="N188" i="1" s="1"/>
  <c r="O188" i="1" s="1"/>
  <c r="M187" i="1"/>
  <c r="N187" i="1" s="1"/>
  <c r="O187" i="1" s="1"/>
  <c r="M186" i="1"/>
  <c r="N186" i="1" s="1"/>
  <c r="O186" i="1" s="1"/>
  <c r="M185" i="1"/>
  <c r="N185" i="1" s="1"/>
  <c r="O185" i="1" s="1"/>
  <c r="M184" i="1"/>
  <c r="N184" i="1" s="1"/>
  <c r="O184" i="1" s="1"/>
  <c r="M183" i="1"/>
  <c r="N183" i="1" s="1"/>
  <c r="O183" i="1" s="1"/>
  <c r="M182" i="1"/>
  <c r="N182" i="1" s="1"/>
  <c r="O182" i="1" s="1"/>
  <c r="M181" i="1"/>
  <c r="N181" i="1" s="1"/>
  <c r="O181" i="1" s="1"/>
  <c r="M180" i="1"/>
  <c r="N180" i="1" s="1"/>
  <c r="O180" i="1" s="1"/>
  <c r="M179" i="1"/>
  <c r="N179" i="1" s="1"/>
  <c r="O179" i="1" s="1"/>
  <c r="M178" i="1"/>
  <c r="N178" i="1" s="1"/>
  <c r="O178" i="1" s="1"/>
  <c r="M177" i="1"/>
  <c r="N177" i="1" s="1"/>
  <c r="O177" i="1" s="1"/>
  <c r="M176" i="1"/>
  <c r="N176" i="1" s="1"/>
  <c r="O176" i="1" s="1"/>
  <c r="M175" i="1"/>
  <c r="N175" i="1" s="1"/>
  <c r="O175" i="1" s="1"/>
  <c r="M174" i="1"/>
  <c r="N174" i="1" s="1"/>
  <c r="O174" i="1" s="1"/>
  <c r="M173" i="1"/>
  <c r="N173" i="1" s="1"/>
  <c r="O173" i="1" s="1"/>
  <c r="M172" i="1"/>
  <c r="N172" i="1" s="1"/>
  <c r="O172" i="1" s="1"/>
  <c r="M171" i="1"/>
  <c r="N171" i="1" s="1"/>
  <c r="O171" i="1" s="1"/>
  <c r="M170" i="1"/>
  <c r="N170" i="1" s="1"/>
  <c r="O170" i="1" s="1"/>
  <c r="M169" i="1"/>
  <c r="N169" i="1" s="1"/>
  <c r="O169" i="1" s="1"/>
  <c r="M168" i="1"/>
  <c r="N168" i="1" s="1"/>
  <c r="O168" i="1" s="1"/>
  <c r="M167" i="1"/>
  <c r="N167" i="1" s="1"/>
  <c r="O167" i="1" s="1"/>
  <c r="M166" i="1"/>
  <c r="N166" i="1" s="1"/>
  <c r="O166" i="1" s="1"/>
  <c r="M165" i="1"/>
  <c r="N165" i="1" s="1"/>
  <c r="O165" i="1" s="1"/>
  <c r="M164" i="1"/>
  <c r="N164" i="1" s="1"/>
  <c r="O164" i="1" s="1"/>
  <c r="M163" i="1"/>
  <c r="N163" i="1" s="1"/>
  <c r="O163" i="1" s="1"/>
  <c r="M162" i="1"/>
  <c r="N162" i="1" s="1"/>
  <c r="O162" i="1" s="1"/>
  <c r="M161" i="1"/>
  <c r="N161" i="1" s="1"/>
  <c r="O161" i="1" s="1"/>
  <c r="M160" i="1"/>
  <c r="N160" i="1" s="1"/>
  <c r="O160" i="1" s="1"/>
  <c r="M159" i="1"/>
  <c r="N159" i="1" s="1"/>
  <c r="O159" i="1" s="1"/>
  <c r="M158" i="1"/>
  <c r="N158" i="1" s="1"/>
  <c r="O158" i="1" s="1"/>
  <c r="M157" i="1"/>
  <c r="N157" i="1" s="1"/>
  <c r="O157" i="1" s="1"/>
  <c r="M156" i="1"/>
  <c r="N156" i="1" s="1"/>
  <c r="O156" i="1" s="1"/>
  <c r="M155" i="1"/>
  <c r="N155" i="1" s="1"/>
  <c r="O155" i="1" s="1"/>
  <c r="M154" i="1"/>
  <c r="N154" i="1" s="1"/>
  <c r="O154" i="1" s="1"/>
  <c r="M153" i="1"/>
  <c r="N153" i="1" s="1"/>
  <c r="O153" i="1" s="1"/>
  <c r="M152" i="1"/>
  <c r="N152" i="1" s="1"/>
  <c r="O152" i="1" s="1"/>
  <c r="M151" i="1"/>
  <c r="N151" i="1" s="1"/>
  <c r="O151" i="1" s="1"/>
  <c r="M150" i="1"/>
  <c r="N150" i="1" s="1"/>
  <c r="O150" i="1" s="1"/>
  <c r="M149" i="1"/>
  <c r="N149" i="1" s="1"/>
  <c r="O149" i="1" s="1"/>
  <c r="M148" i="1"/>
  <c r="N148" i="1" s="1"/>
  <c r="O148" i="1" s="1"/>
  <c r="M147" i="1"/>
  <c r="N147" i="1" s="1"/>
  <c r="O147" i="1" s="1"/>
  <c r="M146" i="1"/>
  <c r="N146" i="1" s="1"/>
  <c r="O146" i="1" s="1"/>
  <c r="M145" i="1"/>
  <c r="N145" i="1" s="1"/>
  <c r="O145" i="1" s="1"/>
  <c r="M144" i="1"/>
  <c r="N144" i="1" s="1"/>
  <c r="O144" i="1" s="1"/>
  <c r="M143" i="1"/>
  <c r="N143" i="1" s="1"/>
  <c r="O143" i="1" s="1"/>
  <c r="M142" i="1"/>
  <c r="N142" i="1" s="1"/>
  <c r="O142" i="1" s="1"/>
  <c r="M141" i="1"/>
  <c r="N141" i="1" s="1"/>
  <c r="O141" i="1" s="1"/>
  <c r="M140" i="1"/>
  <c r="N140" i="1" s="1"/>
  <c r="O140" i="1" s="1"/>
  <c r="M139" i="1"/>
  <c r="N139" i="1" s="1"/>
  <c r="O139" i="1" s="1"/>
  <c r="M138" i="1"/>
  <c r="N138" i="1" s="1"/>
  <c r="O138" i="1" s="1"/>
  <c r="M137" i="1"/>
  <c r="N137" i="1" s="1"/>
  <c r="O137" i="1" s="1"/>
  <c r="M136" i="1"/>
  <c r="N136" i="1" s="1"/>
  <c r="O136" i="1" s="1"/>
  <c r="M135" i="1"/>
  <c r="N135" i="1" s="1"/>
  <c r="O135" i="1" s="1"/>
  <c r="M134" i="1"/>
  <c r="N134" i="1" s="1"/>
  <c r="O134" i="1" s="1"/>
  <c r="M133" i="1"/>
  <c r="N133" i="1" s="1"/>
  <c r="O133" i="1" s="1"/>
  <c r="M132" i="1"/>
  <c r="N132" i="1" s="1"/>
  <c r="O132" i="1" s="1"/>
  <c r="M131" i="1"/>
  <c r="N131" i="1" s="1"/>
  <c r="O131" i="1" s="1"/>
  <c r="M130" i="1"/>
  <c r="N130" i="1" s="1"/>
  <c r="O130" i="1" s="1"/>
  <c r="M129" i="1"/>
  <c r="N129" i="1" s="1"/>
  <c r="O129" i="1" s="1"/>
  <c r="M128" i="1"/>
  <c r="N128" i="1" s="1"/>
  <c r="O128" i="1" s="1"/>
  <c r="M127" i="1"/>
  <c r="N127" i="1" s="1"/>
  <c r="O127" i="1" s="1"/>
  <c r="M126" i="1"/>
  <c r="N126" i="1" s="1"/>
  <c r="O126" i="1" s="1"/>
  <c r="M125" i="1"/>
  <c r="N125" i="1" s="1"/>
  <c r="O125" i="1" s="1"/>
  <c r="M124" i="1"/>
  <c r="N124" i="1" s="1"/>
  <c r="O124" i="1" s="1"/>
  <c r="M123" i="1"/>
  <c r="N123" i="1" s="1"/>
  <c r="O123" i="1" s="1"/>
  <c r="M122" i="1"/>
  <c r="N122" i="1" s="1"/>
  <c r="O122" i="1" s="1"/>
  <c r="M121" i="1"/>
  <c r="N121" i="1" s="1"/>
  <c r="O121" i="1" s="1"/>
  <c r="M120" i="1"/>
  <c r="N120" i="1" s="1"/>
  <c r="O120" i="1" s="1"/>
  <c r="M119" i="1"/>
  <c r="N119" i="1" s="1"/>
  <c r="O119" i="1" s="1"/>
  <c r="M118" i="1"/>
  <c r="N118" i="1" s="1"/>
  <c r="O118" i="1" s="1"/>
  <c r="M117" i="1"/>
  <c r="N117" i="1" s="1"/>
  <c r="O117" i="1" s="1"/>
  <c r="M116" i="1"/>
  <c r="N116" i="1" s="1"/>
  <c r="O116" i="1" s="1"/>
  <c r="M115" i="1"/>
  <c r="N115" i="1" s="1"/>
  <c r="O115" i="1" s="1"/>
  <c r="M114" i="1"/>
  <c r="N114" i="1" s="1"/>
  <c r="O114" i="1" s="1"/>
  <c r="M113" i="1"/>
  <c r="N113" i="1" s="1"/>
  <c r="O113" i="1" s="1"/>
  <c r="M112" i="1"/>
  <c r="N112" i="1" s="1"/>
  <c r="O112" i="1" s="1"/>
  <c r="M111" i="1"/>
  <c r="N111" i="1" s="1"/>
  <c r="O111" i="1" s="1"/>
  <c r="M110" i="1"/>
  <c r="N110" i="1" s="1"/>
  <c r="O110" i="1" s="1"/>
  <c r="M109" i="1"/>
  <c r="N109" i="1" s="1"/>
  <c r="O109" i="1" s="1"/>
  <c r="M108" i="1"/>
  <c r="N108" i="1" s="1"/>
  <c r="O108" i="1" s="1"/>
  <c r="M107" i="1"/>
  <c r="N107" i="1" s="1"/>
  <c r="O107" i="1" s="1"/>
  <c r="M106" i="1"/>
  <c r="N106" i="1" s="1"/>
  <c r="O106" i="1" s="1"/>
  <c r="M105" i="1"/>
  <c r="N105" i="1" s="1"/>
  <c r="O105" i="1" s="1"/>
  <c r="M104" i="1"/>
  <c r="N104" i="1" s="1"/>
  <c r="O104" i="1" s="1"/>
  <c r="M103" i="1"/>
  <c r="N103" i="1" s="1"/>
  <c r="O103" i="1" s="1"/>
  <c r="M102" i="1"/>
  <c r="N102" i="1" s="1"/>
  <c r="O102" i="1" s="1"/>
  <c r="M101" i="1"/>
  <c r="N101" i="1" s="1"/>
  <c r="O101" i="1" s="1"/>
  <c r="M100" i="1"/>
  <c r="N100" i="1" s="1"/>
  <c r="O100" i="1" s="1"/>
  <c r="M99" i="1"/>
  <c r="N99" i="1" s="1"/>
  <c r="O99" i="1" s="1"/>
  <c r="M98" i="1"/>
  <c r="N98" i="1" s="1"/>
  <c r="O98" i="1" s="1"/>
  <c r="M97" i="1"/>
  <c r="N97" i="1" s="1"/>
  <c r="O97" i="1" s="1"/>
  <c r="M96" i="1"/>
  <c r="N96" i="1" s="1"/>
  <c r="O96" i="1" s="1"/>
  <c r="M95" i="1"/>
  <c r="N95" i="1" s="1"/>
  <c r="O95" i="1" s="1"/>
  <c r="M94" i="1"/>
  <c r="N94" i="1" s="1"/>
  <c r="O94" i="1" s="1"/>
  <c r="M93" i="1"/>
  <c r="N93" i="1" s="1"/>
  <c r="O93" i="1" s="1"/>
  <c r="M92" i="1"/>
  <c r="N92" i="1" s="1"/>
  <c r="O92" i="1" s="1"/>
  <c r="M91" i="1"/>
  <c r="N91" i="1" s="1"/>
  <c r="O91" i="1" s="1"/>
  <c r="M90" i="1"/>
  <c r="N90" i="1" s="1"/>
  <c r="O90" i="1" s="1"/>
  <c r="M89" i="1"/>
  <c r="N89" i="1" s="1"/>
  <c r="O89" i="1" s="1"/>
  <c r="M88" i="1"/>
  <c r="N88" i="1" s="1"/>
  <c r="O88" i="1" s="1"/>
  <c r="M87" i="1"/>
  <c r="N87" i="1" s="1"/>
  <c r="O87" i="1" s="1"/>
  <c r="M86" i="1"/>
  <c r="N86" i="1" s="1"/>
  <c r="O86" i="1" s="1"/>
  <c r="M85" i="1"/>
  <c r="N85" i="1" s="1"/>
  <c r="O85" i="1" s="1"/>
  <c r="M84" i="1"/>
  <c r="N84" i="1" s="1"/>
  <c r="O84" i="1" s="1"/>
  <c r="M83" i="1"/>
  <c r="N83" i="1" s="1"/>
  <c r="O83" i="1" s="1"/>
  <c r="M82" i="1"/>
  <c r="N82" i="1" s="1"/>
  <c r="O82" i="1" s="1"/>
  <c r="M81" i="1"/>
  <c r="N81" i="1" s="1"/>
  <c r="O81" i="1" s="1"/>
  <c r="M80" i="1"/>
  <c r="N80" i="1" s="1"/>
  <c r="O80" i="1" s="1"/>
  <c r="M79" i="1"/>
  <c r="N79" i="1" s="1"/>
  <c r="O79" i="1" s="1"/>
  <c r="M78" i="1"/>
  <c r="N78" i="1" s="1"/>
  <c r="O78" i="1" s="1"/>
  <c r="M77" i="1"/>
  <c r="N77" i="1" s="1"/>
  <c r="O77" i="1" s="1"/>
  <c r="M76" i="1"/>
  <c r="N76" i="1" s="1"/>
  <c r="O76" i="1" s="1"/>
  <c r="M75" i="1"/>
  <c r="N75" i="1" s="1"/>
  <c r="O75" i="1" s="1"/>
  <c r="M74" i="1"/>
  <c r="N74" i="1" s="1"/>
  <c r="O74" i="1" s="1"/>
  <c r="M73" i="1"/>
  <c r="N73" i="1" s="1"/>
  <c r="O73" i="1" s="1"/>
  <c r="M72" i="1"/>
  <c r="N72" i="1" s="1"/>
  <c r="O72" i="1" s="1"/>
  <c r="M71" i="1"/>
  <c r="N71" i="1" s="1"/>
  <c r="O71" i="1" s="1"/>
  <c r="M70" i="1"/>
  <c r="N70" i="1" s="1"/>
  <c r="O70" i="1" s="1"/>
  <c r="M69" i="1"/>
  <c r="N69" i="1" s="1"/>
  <c r="O69" i="1" s="1"/>
  <c r="M68" i="1"/>
  <c r="N68" i="1" s="1"/>
  <c r="O68" i="1" s="1"/>
  <c r="M67" i="1"/>
  <c r="N67" i="1" s="1"/>
  <c r="O67" i="1" s="1"/>
  <c r="M66" i="1"/>
  <c r="N66" i="1" s="1"/>
  <c r="O66" i="1" s="1"/>
  <c r="M65" i="1"/>
  <c r="N65" i="1" s="1"/>
  <c r="O65" i="1" s="1"/>
  <c r="M64" i="1"/>
  <c r="N64" i="1" s="1"/>
  <c r="O64" i="1" s="1"/>
  <c r="M63" i="1"/>
  <c r="N63" i="1" s="1"/>
  <c r="O63" i="1" s="1"/>
  <c r="M62" i="1"/>
  <c r="N62" i="1" s="1"/>
  <c r="O62" i="1" s="1"/>
  <c r="M61" i="1"/>
  <c r="N61" i="1" s="1"/>
  <c r="O61" i="1" s="1"/>
  <c r="M60" i="1"/>
  <c r="N60" i="1" s="1"/>
  <c r="O60" i="1" s="1"/>
  <c r="M59" i="1"/>
  <c r="N59" i="1" s="1"/>
  <c r="O59" i="1" s="1"/>
  <c r="M58" i="1"/>
  <c r="N58" i="1" s="1"/>
  <c r="O58" i="1" s="1"/>
  <c r="M57" i="1"/>
  <c r="N57" i="1" s="1"/>
  <c r="O57" i="1" s="1"/>
  <c r="M56" i="1"/>
  <c r="N56" i="1" s="1"/>
  <c r="O56" i="1" s="1"/>
  <c r="M55" i="1"/>
  <c r="N55" i="1" s="1"/>
  <c r="O55" i="1" s="1"/>
  <c r="M54" i="1"/>
  <c r="N54" i="1" s="1"/>
  <c r="O54" i="1" s="1"/>
  <c r="M53" i="1"/>
  <c r="N53" i="1" s="1"/>
  <c r="O53" i="1" s="1"/>
  <c r="M52" i="1"/>
  <c r="N52" i="1" s="1"/>
  <c r="O52" i="1" s="1"/>
  <c r="M51" i="1"/>
  <c r="N51" i="1" s="1"/>
  <c r="O51" i="1" s="1"/>
  <c r="M50" i="1"/>
  <c r="N50" i="1" s="1"/>
  <c r="O50" i="1" s="1"/>
  <c r="M49" i="1"/>
  <c r="N49" i="1" s="1"/>
  <c r="O49" i="1" s="1"/>
  <c r="M48" i="1"/>
  <c r="N48" i="1" s="1"/>
  <c r="O48" i="1" s="1"/>
  <c r="M47" i="1"/>
  <c r="N47" i="1" s="1"/>
  <c r="O47" i="1" s="1"/>
  <c r="M46" i="1"/>
  <c r="N46" i="1" s="1"/>
  <c r="O46" i="1" s="1"/>
  <c r="M45" i="1"/>
  <c r="N45" i="1" s="1"/>
  <c r="O45" i="1" s="1"/>
  <c r="M44" i="1"/>
  <c r="N44" i="1" s="1"/>
  <c r="O44" i="1" s="1"/>
  <c r="M43" i="1"/>
  <c r="N43" i="1" s="1"/>
  <c r="O43" i="1" s="1"/>
  <c r="M42" i="1"/>
  <c r="N42" i="1" s="1"/>
  <c r="O42" i="1" s="1"/>
  <c r="M41" i="1"/>
  <c r="N41" i="1" s="1"/>
  <c r="O41" i="1" s="1"/>
  <c r="M40" i="1"/>
  <c r="N40" i="1" s="1"/>
  <c r="O40" i="1" s="1"/>
  <c r="M39" i="1"/>
  <c r="N39" i="1" s="1"/>
  <c r="O39" i="1" s="1"/>
  <c r="M38" i="1"/>
  <c r="N38" i="1" s="1"/>
  <c r="O38" i="1" s="1"/>
  <c r="M37" i="1"/>
  <c r="N37" i="1" s="1"/>
  <c r="O37" i="1" s="1"/>
  <c r="M36" i="1"/>
  <c r="N36" i="1" s="1"/>
  <c r="O36" i="1" s="1"/>
  <c r="M35" i="1"/>
  <c r="N35" i="1" s="1"/>
  <c r="O35" i="1" s="1"/>
  <c r="M34" i="1"/>
  <c r="N34" i="1" s="1"/>
  <c r="O34" i="1" s="1"/>
  <c r="M33" i="1"/>
  <c r="N33" i="1" s="1"/>
  <c r="O33" i="1" s="1"/>
  <c r="M32" i="1"/>
  <c r="N32" i="1" s="1"/>
  <c r="O32" i="1" s="1"/>
  <c r="M31" i="1"/>
  <c r="N31" i="1" s="1"/>
  <c r="O31" i="1" s="1"/>
  <c r="M30" i="1"/>
  <c r="N30" i="1" s="1"/>
  <c r="O30" i="1" s="1"/>
  <c r="M29" i="1"/>
  <c r="N29" i="1" s="1"/>
  <c r="O29" i="1" s="1"/>
  <c r="M28" i="1"/>
  <c r="N28" i="1" s="1"/>
  <c r="O28" i="1" s="1"/>
  <c r="M27" i="1"/>
  <c r="N27" i="1" s="1"/>
  <c r="O27" i="1" s="1"/>
  <c r="M26" i="1"/>
  <c r="N26" i="1" s="1"/>
  <c r="O26" i="1" s="1"/>
  <c r="M25" i="1"/>
  <c r="N25" i="1" s="1"/>
  <c r="O25" i="1" s="1"/>
  <c r="M24" i="1"/>
  <c r="N24" i="1" s="1"/>
  <c r="O24" i="1" s="1"/>
  <c r="M23" i="1"/>
  <c r="N23" i="1" s="1"/>
  <c r="O23" i="1" s="1"/>
  <c r="M22" i="1"/>
  <c r="N22" i="1" s="1"/>
  <c r="O22" i="1" s="1"/>
  <c r="M21" i="1"/>
  <c r="N21" i="1" s="1"/>
  <c r="O21" i="1" s="1"/>
  <c r="M20" i="1"/>
  <c r="N20" i="1" s="1"/>
  <c r="O20" i="1" s="1"/>
  <c r="M19" i="1"/>
  <c r="N19" i="1" s="1"/>
  <c r="O19" i="1" s="1"/>
  <c r="M18" i="1"/>
  <c r="N18" i="1" s="1"/>
  <c r="O18" i="1" s="1"/>
  <c r="M17" i="1"/>
  <c r="N17" i="1" s="1"/>
  <c r="O17" i="1" s="1"/>
  <c r="M16" i="1"/>
  <c r="N16" i="1" s="1"/>
  <c r="O16" i="1" s="1"/>
  <c r="M15" i="1"/>
  <c r="N15" i="1" s="1"/>
  <c r="O15" i="1" s="1"/>
  <c r="M14" i="1"/>
  <c r="N14" i="1" s="1"/>
  <c r="O14" i="1" s="1"/>
  <c r="M13" i="1"/>
  <c r="N13" i="1" s="1"/>
  <c r="O13" i="1" s="1"/>
  <c r="M12" i="1"/>
  <c r="N12" i="1" s="1"/>
  <c r="O12" i="1" s="1"/>
  <c r="M11" i="1"/>
  <c r="N11" i="1" s="1"/>
  <c r="O11" i="1" s="1"/>
  <c r="M10" i="1"/>
  <c r="N10" i="1" s="1"/>
  <c r="O10" i="1" s="1"/>
  <c r="M9" i="1"/>
  <c r="N9" i="1" s="1"/>
  <c r="O9" i="1" s="1"/>
  <c r="M8" i="1"/>
  <c r="N8" i="1" s="1"/>
  <c r="O8" i="1" s="1"/>
  <c r="M7" i="1"/>
  <c r="N7" i="1" s="1"/>
  <c r="O7" i="1" s="1"/>
  <c r="M6" i="1"/>
  <c r="N6" i="1" s="1"/>
  <c r="O6" i="1" s="1"/>
  <c r="M5" i="1"/>
  <c r="N5" i="1" s="1"/>
  <c r="O5" i="1" s="1"/>
  <c r="M4" i="1"/>
  <c r="N4" i="1" s="1"/>
  <c r="O4" i="1" s="1"/>
  <c r="M3" i="1"/>
  <c r="N3" i="1" s="1"/>
  <c r="O3" i="1" s="1"/>
  <c r="M2" i="1"/>
  <c r="N2" i="1" s="1"/>
  <c r="O2" i="1" s="1"/>
  <c r="B450" i="1" l="1"/>
  <c r="B453" i="1" s="1"/>
</calcChain>
</file>

<file path=xl/sharedStrings.xml><?xml version="1.0" encoding="utf-8"?>
<sst xmlns="http://schemas.openxmlformats.org/spreadsheetml/2006/main" count="20" uniqueCount="20">
  <si>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</si>
  <si>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</si>
  <si>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</si>
  <si>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</si>
  <si>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</si>
  <si>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</si>
  <si>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</si>
  <si>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</si>
  <si>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</si>
  <si>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</si>
  <si>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target</t>
  </si>
  <si>
    <t>u</t>
  </si>
  <si>
    <t>y_hat</t>
  </si>
  <si>
    <t>resid</t>
  </si>
  <si>
    <t>resid_sq</t>
  </si>
  <si>
    <t>n</t>
  </si>
  <si>
    <t>MSE</t>
  </si>
  <si>
    <t>lambda</t>
  </si>
  <si>
    <t>Penalty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</si>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</sst>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0" fillId="0" borderId="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3"/>
  <sheetViews>
    <sheetView tabSelected="1" topLeftCell="A430" workbookViewId="0">
      <selection activeCell="E451" sqref="E45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O1" s="2" t="s">
        <v>14</v>
      </c>
    </row>
    <row r="2" spans="1:15" x14ac:dyDescent="0.25">
      <c r="A2">
        <v>3.8075906433423033E-2</v>
      </c>
      <c r="B2">
        <v>5.0680118739818619E-2</v>
      </c>
      <c r="C2">
        <v>6.1696206518683287E-2</v>
      </c>
      <c r="D2">
        <v>2.18723855140367E-2</v>
      </c>
      <c r="E2">
        <v>-4.4223498424445992E-2</v>
      </c>
      <c r="F2">
        <v>-3.482076283769895E-2</v>
      </c>
      <c r="G2">
        <v>-4.3400845652024907E-2</v>
      </c>
      <c r="H2">
        <v>-2.592261998183278E-3</v>
      </c>
      <c r="I2">
        <v>1.9907486170462719E-2</v>
      </c>
      <c r="J2">
        <v>-1.764612515980379E-2</v>
      </c>
      <c r="K2">
        <v>151</v>
      </c>
      <c r="M2">
        <f>$A$446 + SUMPRODUCT($B$446:$K$446, A2:J2)</f>
        <v>203.03613599285092</v>
      </c>
      <c r="N2">
        <f>K2-M2</f>
        <v>-52.036135992850916</v>
      </c>
      <c r="O2">
        <f>N2^2</f>
        <v>2707.7594490664746</v>
      </c>
    </row>
    <row r="3" spans="1:15" x14ac:dyDescent="0.25">
      <c r="A3">
        <v>-1.8820165277906051E-3</v>
      </c>
      <c r="B3">
        <v>-4.4641636506989137E-2</v>
      </c>
      <c r="C3">
        <v>-5.1474061238800647E-2</v>
      </c>
      <c r="D3">
        <v>-2.6327528147852958E-2</v>
      </c>
      <c r="E3">
        <v>-8.4487241112168512E-3</v>
      </c>
      <c r="F3">
        <v>-1.9163339748222201E-2</v>
      </c>
      <c r="G3">
        <v>7.4411564078757209E-2</v>
      </c>
      <c r="H3">
        <v>-3.9493382874093291E-2</v>
      </c>
      <c r="I3">
        <v>-6.83315470939731E-2</v>
      </c>
      <c r="J3">
        <v>-9.2204049626824006E-2</v>
      </c>
      <c r="K3">
        <v>75</v>
      </c>
      <c r="M3">
        <f t="shared" ref="M3:M66" si="0">$A$446 + SUMPRODUCT($B$446:$K$446, A3:J3)</f>
        <v>75.653953057499763</v>
      </c>
      <c r="N3">
        <f t="shared" ref="N3:N66" si="1">K3-M3</f>
        <v>-0.65395305749976274</v>
      </c>
      <c r="O3">
        <f t="shared" ref="O3:O66" si="2">N3^2</f>
        <v>0.42765460141328798</v>
      </c>
    </row>
    <row r="4" spans="1:15" x14ac:dyDescent="0.25">
      <c r="A4">
        <v>8.5298906296675484E-2</v>
      </c>
      <c r="B4">
        <v>5.0680118739818619E-2</v>
      </c>
      <c r="C4">
        <v>4.4451213336590488E-2</v>
      </c>
      <c r="D4">
        <v>-5.67042229275739E-3</v>
      </c>
      <c r="E4">
        <v>-4.5599451282647113E-2</v>
      </c>
      <c r="F4">
        <v>-3.4194465914119891E-2</v>
      </c>
      <c r="G4">
        <v>-3.2355932239764087E-2</v>
      </c>
      <c r="H4">
        <v>-2.592261998183278E-3</v>
      </c>
      <c r="I4">
        <v>2.8613092898330471E-3</v>
      </c>
      <c r="J4">
        <v>-2.5930338989472699E-2</v>
      </c>
      <c r="K4">
        <v>141</v>
      </c>
      <c r="M4">
        <f t="shared" si="0"/>
        <v>177.10904701736109</v>
      </c>
      <c r="N4">
        <f t="shared" si="1"/>
        <v>-36.109047017361092</v>
      </c>
      <c r="O4">
        <f t="shared" si="2"/>
        <v>1303.8632765019941</v>
      </c>
    </row>
    <row r="5" spans="1:15" x14ac:dyDescent="0.25">
      <c r="A5">
        <v>-8.9062939352256704E-2</v>
      </c>
      <c r="B5">
        <v>-4.4641636506989137E-2</v>
      </c>
      <c r="C5">
        <v>-1.159501450521108E-2</v>
      </c>
      <c r="D5">
        <v>-3.6656081075400741E-2</v>
      </c>
      <c r="E5">
        <v>1.2190568761799961E-2</v>
      </c>
      <c r="F5">
        <v>2.4990593364102219E-2</v>
      </c>
      <c r="G5">
        <v>-3.6037570043851018E-2</v>
      </c>
      <c r="H5">
        <v>3.4308858877726729E-2</v>
      </c>
      <c r="I5">
        <v>2.268774496650125E-2</v>
      </c>
      <c r="J5">
        <v>-9.3619113301348783E-3</v>
      </c>
      <c r="K5">
        <v>206</v>
      </c>
      <c r="M5">
        <f t="shared" si="0"/>
        <v>149.19880594203337</v>
      </c>
      <c r="N5">
        <f t="shared" si="1"/>
        <v>56.801194057966626</v>
      </c>
      <c r="O5">
        <f t="shared" si="2"/>
        <v>3226.3756464107832</v>
      </c>
    </row>
    <row r="6" spans="1:15" x14ac:dyDescent="0.25">
      <c r="A6">
        <v>5.3830603742482368E-3</v>
      </c>
      <c r="B6">
        <v>-4.4641636506989137E-2</v>
      </c>
      <c r="C6">
        <v>-3.6384692204469479E-2</v>
      </c>
      <c r="D6">
        <v>2.18723855140367E-2</v>
      </c>
      <c r="E6">
        <v>3.934851612593237E-3</v>
      </c>
      <c r="F6">
        <v>1.559613951041617E-2</v>
      </c>
      <c r="G6">
        <v>8.1420836051922674E-3</v>
      </c>
      <c r="H6">
        <v>-2.592261998183278E-3</v>
      </c>
      <c r="I6">
        <v>-3.1987639488053117E-2</v>
      </c>
      <c r="J6">
        <v>-4.6640873563644977E-2</v>
      </c>
      <c r="K6">
        <v>135</v>
      </c>
      <c r="M6">
        <f t="shared" si="0"/>
        <v>118.92975678699463</v>
      </c>
      <c r="N6">
        <f t="shared" si="1"/>
        <v>16.070243213005369</v>
      </c>
      <c r="O6">
        <f t="shared" si="2"/>
        <v>258.25271692514514</v>
      </c>
    </row>
    <row r="7" spans="1:15" x14ac:dyDescent="0.25">
      <c r="A7">
        <v>-9.2695477803276125E-2</v>
      </c>
      <c r="B7">
        <v>-4.4641636506989137E-2</v>
      </c>
      <c r="C7">
        <v>-4.0695940499992672E-2</v>
      </c>
      <c r="D7">
        <v>-1.9441826196154439E-2</v>
      </c>
      <c r="E7">
        <v>-6.899064987206617E-2</v>
      </c>
      <c r="F7">
        <v>-7.9287844411812913E-2</v>
      </c>
      <c r="G7">
        <v>4.1276823841974737E-2</v>
      </c>
      <c r="H7">
        <v>-7.6394503750003298E-2</v>
      </c>
      <c r="I7">
        <v>-4.1176166918895148E-2</v>
      </c>
      <c r="J7">
        <v>-9.6346156541658456E-2</v>
      </c>
      <c r="K7">
        <v>97</v>
      </c>
      <c r="M7">
        <f t="shared" si="0"/>
        <v>94.581431989707383</v>
      </c>
      <c r="N7">
        <f t="shared" si="1"/>
        <v>2.418568010292617</v>
      </c>
      <c r="O7">
        <f t="shared" si="2"/>
        <v>5.8494712204107886</v>
      </c>
    </row>
    <row r="8" spans="1:15" x14ac:dyDescent="0.25">
      <c r="A8">
        <v>-4.5472477940023653E-2</v>
      </c>
      <c r="B8">
        <v>5.0680118739818619E-2</v>
      </c>
      <c r="C8">
        <v>-4.7162812943277482E-2</v>
      </c>
      <c r="D8">
        <v>-1.5998975220305179E-2</v>
      </c>
      <c r="E8">
        <v>-4.0095639849842629E-2</v>
      </c>
      <c r="F8">
        <v>-2.4800012060433849E-2</v>
      </c>
      <c r="G8">
        <v>7.7880799701838534E-4</v>
      </c>
      <c r="H8">
        <v>-3.9493382874093291E-2</v>
      </c>
      <c r="I8">
        <v>-6.2916879143655444E-2</v>
      </c>
      <c r="J8">
        <v>-3.8356659733976069E-2</v>
      </c>
      <c r="K8">
        <v>138</v>
      </c>
      <c r="M8">
        <f t="shared" si="0"/>
        <v>85.244036684974347</v>
      </c>
      <c r="N8">
        <f t="shared" si="1"/>
        <v>52.755963315025653</v>
      </c>
      <c r="O8">
        <f t="shared" si="2"/>
        <v>2783.1916652963323</v>
      </c>
    </row>
    <row r="9" spans="1:15" x14ac:dyDescent="0.25">
      <c r="A9">
        <v>6.3503675590558972E-2</v>
      </c>
      <c r="B9">
        <v>5.0680118739818619E-2</v>
      </c>
      <c r="C9">
        <v>-1.8947058402839011E-3</v>
      </c>
      <c r="D9">
        <v>6.6629448200077102E-2</v>
      </c>
      <c r="E9">
        <v>9.0619881679263853E-2</v>
      </c>
      <c r="F9">
        <v>0.1089143811236976</v>
      </c>
      <c r="G9">
        <v>2.2868634821540029E-2</v>
      </c>
      <c r="H9">
        <v>1.7703354483567219E-2</v>
      </c>
      <c r="I9">
        <v>-3.5816192584237301E-2</v>
      </c>
      <c r="J9">
        <v>3.064409414368488E-3</v>
      </c>
      <c r="K9">
        <v>63</v>
      </c>
      <c r="M9">
        <f t="shared" si="0"/>
        <v>151.72268127318128</v>
      </c>
      <c r="N9">
        <f t="shared" si="1"/>
        <v>-88.72268127318128</v>
      </c>
      <c r="O9">
        <f t="shared" si="2"/>
        <v>7871.7141723025125</v>
      </c>
    </row>
    <row r="10" spans="1:15" x14ac:dyDescent="0.25">
      <c r="A10">
        <v>4.170844488444244E-2</v>
      </c>
      <c r="B10">
        <v>5.0680118739818619E-2</v>
      </c>
      <c r="C10">
        <v>6.1696206518683287E-2</v>
      </c>
      <c r="D10">
        <v>-4.0098932051250001E-2</v>
      </c>
      <c r="E10">
        <v>-1.395253554402134E-2</v>
      </c>
      <c r="F10">
        <v>6.2016856567301236E-3</v>
      </c>
      <c r="G10">
        <v>-2.867429443567714E-2</v>
      </c>
      <c r="H10">
        <v>-2.592261998183278E-3</v>
      </c>
      <c r="I10">
        <v>-1.495969381264341E-2</v>
      </c>
      <c r="J10">
        <v>1.13486232440374E-2</v>
      </c>
      <c r="K10">
        <v>110</v>
      </c>
      <c r="M10">
        <f t="shared" si="0"/>
        <v>170.65922028499304</v>
      </c>
      <c r="N10">
        <f t="shared" si="1"/>
        <v>-60.65922028499304</v>
      </c>
      <c r="O10">
        <f t="shared" si="2"/>
        <v>3679.5410055833113</v>
      </c>
    </row>
    <row r="11" spans="1:15" x14ac:dyDescent="0.25">
      <c r="A11">
        <v>-7.0900247097159586E-2</v>
      </c>
      <c r="B11">
        <v>-4.4641636506989137E-2</v>
      </c>
      <c r="C11">
        <v>3.9062152967186493E-2</v>
      </c>
      <c r="D11">
        <v>-3.3213230099551481E-2</v>
      </c>
      <c r="E11">
        <v>-1.2576582685820211E-2</v>
      </c>
      <c r="F11">
        <v>-3.4507614375909407E-2</v>
      </c>
      <c r="G11">
        <v>-2.4992656631590209E-2</v>
      </c>
      <c r="H11">
        <v>-2.592261998183278E-3</v>
      </c>
      <c r="I11">
        <v>6.773705306493534E-2</v>
      </c>
      <c r="J11">
        <v>-1.350401824496934E-2</v>
      </c>
      <c r="K11">
        <v>310</v>
      </c>
      <c r="M11">
        <f t="shared" si="0"/>
        <v>199.46787006808182</v>
      </c>
      <c r="N11">
        <f t="shared" si="1"/>
        <v>110.53212993191818</v>
      </c>
      <c r="O11">
        <f t="shared" si="2"/>
        <v>12217.351747286442</v>
      </c>
    </row>
    <row r="12" spans="1:15" x14ac:dyDescent="0.25">
      <c r="A12">
        <v>-9.6328016254295545E-2</v>
      </c>
      <c r="B12">
        <v>-4.4641636506989137E-2</v>
      </c>
      <c r="C12">
        <v>-8.3808423455224643E-2</v>
      </c>
      <c r="D12">
        <v>8.1009816106396553E-3</v>
      </c>
      <c r="E12">
        <v>-0.1033894713270942</v>
      </c>
      <c r="F12">
        <v>-9.0561189036236167E-2</v>
      </c>
      <c r="G12">
        <v>-1.394774321932938E-2</v>
      </c>
      <c r="H12">
        <v>-7.6394503750003298E-2</v>
      </c>
      <c r="I12">
        <v>-6.2916879143655444E-2</v>
      </c>
      <c r="J12">
        <v>-3.4214552819141618E-2</v>
      </c>
      <c r="K12">
        <v>101</v>
      </c>
      <c r="M12">
        <f t="shared" si="0"/>
        <v>67.629337541221915</v>
      </c>
      <c r="N12">
        <f t="shared" si="1"/>
        <v>33.370662458778085</v>
      </c>
      <c r="O12">
        <f t="shared" si="2"/>
        <v>1113.6011129377011</v>
      </c>
    </row>
    <row r="13" spans="1:15" x14ac:dyDescent="0.25">
      <c r="A13">
        <v>2.717829108036476E-2</v>
      </c>
      <c r="B13">
        <v>5.0680118739818619E-2</v>
      </c>
      <c r="C13">
        <v>1.7505911489570501E-2</v>
      </c>
      <c r="D13">
        <v>-3.3213230099551481E-2</v>
      </c>
      <c r="E13">
        <v>-7.072771253015731E-3</v>
      </c>
      <c r="F13">
        <v>4.5971540304001073E-2</v>
      </c>
      <c r="G13">
        <v>-6.5490672476546552E-2</v>
      </c>
      <c r="H13">
        <v>7.1209979753636743E-2</v>
      </c>
      <c r="I13">
        <v>-9.6434949940487125E-2</v>
      </c>
      <c r="J13">
        <v>-5.9067194308148351E-2</v>
      </c>
      <c r="K13">
        <v>69</v>
      </c>
      <c r="M13">
        <f t="shared" si="0"/>
        <v>108.88746374349839</v>
      </c>
      <c r="N13">
        <f t="shared" si="1"/>
        <v>-39.887463743498387</v>
      </c>
      <c r="O13">
        <f t="shared" si="2"/>
        <v>1591.0097638888983</v>
      </c>
    </row>
    <row r="14" spans="1:15" x14ac:dyDescent="0.25">
      <c r="A14">
        <v>1.6280675727306501E-2</v>
      </c>
      <c r="B14">
        <v>-4.4641636506989137E-2</v>
      </c>
      <c r="C14">
        <v>-2.8840007687303892E-2</v>
      </c>
      <c r="D14">
        <v>-9.1132732686066524E-3</v>
      </c>
      <c r="E14">
        <v>-4.320865536613489E-3</v>
      </c>
      <c r="F14">
        <v>-9.7688858945361584E-3</v>
      </c>
      <c r="G14">
        <v>4.4958461646061681E-2</v>
      </c>
      <c r="H14">
        <v>-3.9493382874093291E-2</v>
      </c>
      <c r="I14">
        <v>-3.0747917533098211E-2</v>
      </c>
      <c r="J14">
        <v>-4.2498766648810533E-2</v>
      </c>
      <c r="K14">
        <v>179</v>
      </c>
      <c r="M14">
        <f t="shared" si="0"/>
        <v>113.58990514053104</v>
      </c>
      <c r="N14">
        <f t="shared" si="1"/>
        <v>65.410094859468956</v>
      </c>
      <c r="O14">
        <f t="shared" si="2"/>
        <v>4278.4805095247275</v>
      </c>
    </row>
    <row r="15" spans="1:15" x14ac:dyDescent="0.25">
      <c r="A15">
        <v>5.3830603742482368E-3</v>
      </c>
      <c r="B15">
        <v>5.0680118739818619E-2</v>
      </c>
      <c r="C15">
        <v>-1.8947058402839011E-3</v>
      </c>
      <c r="D15">
        <v>8.1009816106396553E-3</v>
      </c>
      <c r="E15">
        <v>-4.320865536613489E-3</v>
      </c>
      <c r="F15">
        <v>-1.5718706668537322E-2</v>
      </c>
      <c r="G15">
        <v>-2.9028298070685561E-3</v>
      </c>
      <c r="H15">
        <v>-2.592261998183278E-3</v>
      </c>
      <c r="I15">
        <v>3.8393928263466423E-2</v>
      </c>
      <c r="J15">
        <v>-1.350401824496934E-2</v>
      </c>
      <c r="K15">
        <v>185</v>
      </c>
      <c r="M15">
        <f t="shared" si="0"/>
        <v>171.57617297998527</v>
      </c>
      <c r="N15">
        <f t="shared" si="1"/>
        <v>13.423827020014727</v>
      </c>
      <c r="O15">
        <f t="shared" si="2"/>
        <v>180.19913186327747</v>
      </c>
    </row>
    <row r="16" spans="1:15" x14ac:dyDescent="0.25">
      <c r="A16">
        <v>4.5340983335461861E-2</v>
      </c>
      <c r="B16">
        <v>-4.4641636506989137E-2</v>
      </c>
      <c r="C16">
        <v>-2.560657146566148E-2</v>
      </c>
      <c r="D16">
        <v>-1.255612424445591E-2</v>
      </c>
      <c r="E16">
        <v>1.769438019460445E-2</v>
      </c>
      <c r="F16">
        <v>-6.1283579060572756E-5</v>
      </c>
      <c r="G16">
        <v>8.1774839686931097E-2</v>
      </c>
      <c r="H16">
        <v>-3.9493382874093291E-2</v>
      </c>
      <c r="I16">
        <v>-3.1987639488053117E-2</v>
      </c>
      <c r="J16">
        <v>-7.5635621967486175E-2</v>
      </c>
      <c r="K16">
        <v>118</v>
      </c>
      <c r="M16">
        <f t="shared" si="0"/>
        <v>112.92437164099015</v>
      </c>
      <c r="N16">
        <f t="shared" si="1"/>
        <v>5.0756283590098548</v>
      </c>
      <c r="O16">
        <f t="shared" si="2"/>
        <v>25.76200323878507</v>
      </c>
    </row>
    <row r="17" spans="1:15" x14ac:dyDescent="0.25">
      <c r="A17">
        <v>-5.2737554842062502E-2</v>
      </c>
      <c r="B17">
        <v>5.0680118739818619E-2</v>
      </c>
      <c r="C17">
        <v>-1.8061886948495889E-2</v>
      </c>
      <c r="D17">
        <v>8.0400852103474141E-2</v>
      </c>
      <c r="E17">
        <v>8.9243928821062732E-2</v>
      </c>
      <c r="F17">
        <v>0.1076617872765394</v>
      </c>
      <c r="G17">
        <v>-3.9719207847937969E-2</v>
      </c>
      <c r="H17">
        <v>0.10811110062954681</v>
      </c>
      <c r="I17">
        <v>3.6060333995316073E-2</v>
      </c>
      <c r="J17">
        <v>-4.2498766648810533E-2</v>
      </c>
      <c r="K17">
        <v>171</v>
      </c>
      <c r="M17">
        <f t="shared" si="0"/>
        <v>186.21435658411838</v>
      </c>
      <c r="N17">
        <f t="shared" si="1"/>
        <v>-15.214356584118377</v>
      </c>
      <c r="O17">
        <f t="shared" si="2"/>
        <v>231.47664626870622</v>
      </c>
    </row>
    <row r="18" spans="1:15" x14ac:dyDescent="0.25">
      <c r="A18">
        <v>-5.5145549788100249E-3</v>
      </c>
      <c r="B18">
        <v>-4.4641636506989137E-2</v>
      </c>
      <c r="C18">
        <v>4.2295589188828898E-2</v>
      </c>
      <c r="D18">
        <v>4.9415193320830803E-2</v>
      </c>
      <c r="E18">
        <v>2.4574144485610051E-2</v>
      </c>
      <c r="F18">
        <v>-2.3860566675065229E-2</v>
      </c>
      <c r="G18">
        <v>7.4411564078757209E-2</v>
      </c>
      <c r="H18">
        <v>-3.9493382874093291E-2</v>
      </c>
      <c r="I18">
        <v>5.227699103843915E-2</v>
      </c>
      <c r="J18">
        <v>2.7917050903375221E-2</v>
      </c>
      <c r="K18">
        <v>166</v>
      </c>
      <c r="M18">
        <f t="shared" si="0"/>
        <v>213.79807642660188</v>
      </c>
      <c r="N18">
        <f t="shared" si="1"/>
        <v>-47.798076426601881</v>
      </c>
      <c r="O18">
        <f t="shared" si="2"/>
        <v>2284.6561100832746</v>
      </c>
    </row>
    <row r="19" spans="1:15" x14ac:dyDescent="0.25">
      <c r="A19">
        <v>7.07687524925978E-2</v>
      </c>
      <c r="B19">
        <v>5.0680118739818619E-2</v>
      </c>
      <c r="C19">
        <v>1.21168511201665E-2</v>
      </c>
      <c r="D19">
        <v>5.6300895272529322E-2</v>
      </c>
      <c r="E19">
        <v>3.4205814493017898E-2</v>
      </c>
      <c r="F19">
        <v>4.9416173383685931E-2</v>
      </c>
      <c r="G19">
        <v>-3.9719207847937969E-2</v>
      </c>
      <c r="H19">
        <v>3.4308858877726729E-2</v>
      </c>
      <c r="I19">
        <v>2.7364049105411979E-2</v>
      </c>
      <c r="J19">
        <v>-1.0776975004659669E-3</v>
      </c>
      <c r="K19">
        <v>144</v>
      </c>
      <c r="M19">
        <f t="shared" si="0"/>
        <v>189.63798640015781</v>
      </c>
      <c r="N19">
        <f t="shared" si="1"/>
        <v>-45.637986400157814</v>
      </c>
      <c r="O19">
        <f t="shared" si="2"/>
        <v>2082.8258026609897</v>
      </c>
    </row>
    <row r="20" spans="1:15" x14ac:dyDescent="0.25">
      <c r="A20">
        <v>-3.8207401037984812E-2</v>
      </c>
      <c r="B20">
        <v>-4.4641636506989137E-2</v>
      </c>
      <c r="C20">
        <v>-1.0517202431330299E-2</v>
      </c>
      <c r="D20">
        <v>-3.6656081075400741E-2</v>
      </c>
      <c r="E20">
        <v>-3.7343734133440387E-2</v>
      </c>
      <c r="F20">
        <v>-1.9476488210011741E-2</v>
      </c>
      <c r="G20">
        <v>-2.867429443567714E-2</v>
      </c>
      <c r="H20">
        <v>-2.592261998183278E-3</v>
      </c>
      <c r="I20">
        <v>-1.8113692315690318E-2</v>
      </c>
      <c r="J20">
        <v>-1.764612515980379E-2</v>
      </c>
      <c r="K20">
        <v>97</v>
      </c>
      <c r="M20">
        <f t="shared" si="0"/>
        <v>126.78943087375616</v>
      </c>
      <c r="N20">
        <f t="shared" si="1"/>
        <v>-29.78943087375616</v>
      </c>
      <c r="O20">
        <f t="shared" si="2"/>
        <v>887.41019178229669</v>
      </c>
    </row>
    <row r="21" spans="1:15" x14ac:dyDescent="0.25">
      <c r="A21">
        <v>-2.7309785684926549E-2</v>
      </c>
      <c r="B21">
        <v>-4.4641636506989137E-2</v>
      </c>
      <c r="C21">
        <v>-1.8061886948495889E-2</v>
      </c>
      <c r="D21">
        <v>-4.0098932051250001E-2</v>
      </c>
      <c r="E21">
        <v>-2.944912678412368E-3</v>
      </c>
      <c r="F21">
        <v>-1.133462820348383E-2</v>
      </c>
      <c r="G21">
        <v>3.75951860378878E-2</v>
      </c>
      <c r="H21">
        <v>-3.9493382874093291E-2</v>
      </c>
      <c r="I21">
        <v>-8.9433960900681692E-3</v>
      </c>
      <c r="J21">
        <v>-5.4925087393313893E-2</v>
      </c>
      <c r="K21">
        <v>168</v>
      </c>
      <c r="M21">
        <f t="shared" si="0"/>
        <v>122.34133517275902</v>
      </c>
      <c r="N21">
        <f t="shared" si="1"/>
        <v>45.658664827240983</v>
      </c>
      <c r="O21">
        <f t="shared" si="2"/>
        <v>2084.7136738063327</v>
      </c>
    </row>
    <row r="22" spans="1:15" x14ac:dyDescent="0.25">
      <c r="A22">
        <v>-4.9105016391043067E-2</v>
      </c>
      <c r="B22">
        <v>-4.4641636506989137E-2</v>
      </c>
      <c r="C22">
        <v>-5.6863121608204649E-2</v>
      </c>
      <c r="D22">
        <v>-4.3541783027099268E-2</v>
      </c>
      <c r="E22">
        <v>-4.5599451282647113E-2</v>
      </c>
      <c r="F22">
        <v>-4.3275771306016397E-2</v>
      </c>
      <c r="G22">
        <v>7.7880799701838534E-4</v>
      </c>
      <c r="H22">
        <v>-3.9493382874093291E-2</v>
      </c>
      <c r="I22">
        <v>-1.189685133569598E-2</v>
      </c>
      <c r="J22">
        <v>1.549073015887186E-2</v>
      </c>
      <c r="K22">
        <v>68</v>
      </c>
      <c r="M22">
        <f t="shared" si="0"/>
        <v>99.515951225678435</v>
      </c>
      <c r="N22">
        <f t="shared" si="1"/>
        <v>-31.515951225678435</v>
      </c>
      <c r="O22">
        <f t="shared" si="2"/>
        <v>993.25518165934204</v>
      </c>
    </row>
    <row r="23" spans="1:15" x14ac:dyDescent="0.25">
      <c r="A23">
        <v>-8.5430400901237283E-2</v>
      </c>
      <c r="B23">
        <v>5.0680118739818619E-2</v>
      </c>
      <c r="C23">
        <v>-2.2373135244019071E-2</v>
      </c>
      <c r="D23">
        <v>1.2152796589411331E-3</v>
      </c>
      <c r="E23">
        <v>-3.7343734133440387E-2</v>
      </c>
      <c r="F23">
        <v>-2.636575436938152E-2</v>
      </c>
      <c r="G23">
        <v>1.5505359213366149E-2</v>
      </c>
      <c r="H23">
        <v>-3.9493382874093291E-2</v>
      </c>
      <c r="I23">
        <v>-7.2132753382327428E-2</v>
      </c>
      <c r="J23">
        <v>-1.764612515980379E-2</v>
      </c>
      <c r="K23">
        <v>49</v>
      </c>
      <c r="M23">
        <f t="shared" si="0"/>
        <v>100.27565714658385</v>
      </c>
      <c r="N23">
        <f t="shared" si="1"/>
        <v>-51.275657146583853</v>
      </c>
      <c r="O23">
        <f t="shared" si="2"/>
        <v>2629.1930158140158</v>
      </c>
    </row>
    <row r="24" spans="1:15" x14ac:dyDescent="0.25">
      <c r="A24">
        <v>-8.5430400901237283E-2</v>
      </c>
      <c r="B24">
        <v>-4.4641636506989137E-2</v>
      </c>
      <c r="C24">
        <v>-4.0503299880454919E-3</v>
      </c>
      <c r="D24">
        <v>-9.1132732686066524E-3</v>
      </c>
      <c r="E24">
        <v>-2.944912678412368E-3</v>
      </c>
      <c r="F24">
        <v>7.7674279656778002E-3</v>
      </c>
      <c r="G24">
        <v>2.2868634821540029E-2</v>
      </c>
      <c r="H24">
        <v>-3.9493382874093291E-2</v>
      </c>
      <c r="I24">
        <v>-6.1175799045152628E-2</v>
      </c>
      <c r="J24">
        <v>-1.350401824496934E-2</v>
      </c>
      <c r="K24">
        <v>68</v>
      </c>
      <c r="M24">
        <f t="shared" si="0"/>
        <v>113.91043641031865</v>
      </c>
      <c r="N24">
        <f t="shared" si="1"/>
        <v>-45.910436410318653</v>
      </c>
      <c r="O24">
        <f t="shared" si="2"/>
        <v>2107.7681713859129</v>
      </c>
    </row>
    <row r="25" spans="1:15" x14ac:dyDescent="0.25">
      <c r="A25">
        <v>4.5340983335461861E-2</v>
      </c>
      <c r="B25">
        <v>5.0680118739818619E-2</v>
      </c>
      <c r="C25">
        <v>6.0618394444802479E-2</v>
      </c>
      <c r="D25">
        <v>3.1064797619554239E-2</v>
      </c>
      <c r="E25">
        <v>2.8702003060213411E-2</v>
      </c>
      <c r="F25">
        <v>-4.7346701309280342E-2</v>
      </c>
      <c r="G25">
        <v>-5.4445759064285733E-2</v>
      </c>
      <c r="H25">
        <v>7.1209979753636743E-2</v>
      </c>
      <c r="I25">
        <v>0.13359728192191361</v>
      </c>
      <c r="J25">
        <v>0.13561183068907109</v>
      </c>
      <c r="K25">
        <v>245</v>
      </c>
      <c r="M25">
        <f t="shared" si="0"/>
        <v>271.14263369351443</v>
      </c>
      <c r="N25">
        <f t="shared" si="1"/>
        <v>-26.142633693514426</v>
      </c>
      <c r="O25">
        <f t="shared" si="2"/>
        <v>683.43729643327572</v>
      </c>
    </row>
    <row r="26" spans="1:15" x14ac:dyDescent="0.25">
      <c r="A26">
        <v>-6.3635170195120758E-2</v>
      </c>
      <c r="B26">
        <v>-4.4641636506989137E-2</v>
      </c>
      <c r="C26">
        <v>3.5828716745544088E-2</v>
      </c>
      <c r="D26">
        <v>-2.2884677172003699E-2</v>
      </c>
      <c r="E26">
        <v>-3.0463969842434779E-2</v>
      </c>
      <c r="F26">
        <v>-1.8850191286432672E-2</v>
      </c>
      <c r="G26">
        <v>-6.584467611155497E-3</v>
      </c>
      <c r="H26">
        <v>-2.592261998183278E-3</v>
      </c>
      <c r="I26">
        <v>-2.5953110560258001E-2</v>
      </c>
      <c r="J26">
        <v>-5.4925087393313893E-2</v>
      </c>
      <c r="K26">
        <v>184</v>
      </c>
      <c r="M26">
        <f t="shared" si="0"/>
        <v>152.38883134802532</v>
      </c>
      <c r="N26">
        <f t="shared" si="1"/>
        <v>31.61116865197468</v>
      </c>
      <c r="O26">
        <f t="shared" si="2"/>
        <v>999.26598354358669</v>
      </c>
    </row>
    <row r="27" spans="1:15" x14ac:dyDescent="0.25">
      <c r="A27">
        <v>-6.7267708646140179E-2</v>
      </c>
      <c r="B27">
        <v>5.0680118739818619E-2</v>
      </c>
      <c r="C27">
        <v>-1.2672826579091899E-2</v>
      </c>
      <c r="D27">
        <v>-4.0098932051250001E-2</v>
      </c>
      <c r="E27">
        <v>-1.5328488402222449E-2</v>
      </c>
      <c r="F27">
        <v>4.6359433477824504E-3</v>
      </c>
      <c r="G27">
        <v>-5.8127396868372677E-2</v>
      </c>
      <c r="H27">
        <v>3.4308858877726729E-2</v>
      </c>
      <c r="I27">
        <v>1.91964691668857E-2</v>
      </c>
      <c r="J27">
        <v>-3.4214552819141618E-2</v>
      </c>
      <c r="K27">
        <v>202</v>
      </c>
      <c r="M27">
        <f t="shared" si="0"/>
        <v>145.15515310900952</v>
      </c>
      <c r="N27">
        <f t="shared" si="1"/>
        <v>56.844846890990482</v>
      </c>
      <c r="O27">
        <f t="shared" si="2"/>
        <v>3231.3366180601502</v>
      </c>
    </row>
    <row r="28" spans="1:15" x14ac:dyDescent="0.25">
      <c r="A28">
        <v>-0.10722563160735379</v>
      </c>
      <c r="B28">
        <v>-4.4641636506989137E-2</v>
      </c>
      <c r="C28">
        <v>-7.734155101193986E-2</v>
      </c>
      <c r="D28">
        <v>-2.6327528147852958E-2</v>
      </c>
      <c r="E28">
        <v>-8.9629942745082972E-2</v>
      </c>
      <c r="F28">
        <v>-9.6197861348447808E-2</v>
      </c>
      <c r="G28">
        <v>2.655027262562697E-2</v>
      </c>
      <c r="H28">
        <v>-7.6394503750003298E-2</v>
      </c>
      <c r="I28">
        <v>-4.2570854118219377E-2</v>
      </c>
      <c r="J28">
        <v>-5.2198044153004232E-3</v>
      </c>
      <c r="K28">
        <v>137</v>
      </c>
      <c r="M28">
        <f t="shared" si="0"/>
        <v>73.563126255265075</v>
      </c>
      <c r="N28">
        <f t="shared" si="1"/>
        <v>63.436873744734925</v>
      </c>
      <c r="O28">
        <f t="shared" si="2"/>
        <v>4024.2369505054394</v>
      </c>
    </row>
    <row r="29" spans="1:15" x14ac:dyDescent="0.25">
      <c r="A29">
        <v>-2.3677247233907128E-2</v>
      </c>
      <c r="B29">
        <v>-4.4641636506989137E-2</v>
      </c>
      <c r="C29">
        <v>5.954058237092167E-2</v>
      </c>
      <c r="D29">
        <v>-4.0098932051250001E-2</v>
      </c>
      <c r="E29">
        <v>-4.2847545566244871E-2</v>
      </c>
      <c r="F29">
        <v>-4.3588919767805941E-2</v>
      </c>
      <c r="G29">
        <v>1.182372140927921E-2</v>
      </c>
      <c r="H29">
        <v>-3.9493382874093291E-2</v>
      </c>
      <c r="I29">
        <v>-1.5998872510179039E-2</v>
      </c>
      <c r="J29">
        <v>4.0343371647878587E-2</v>
      </c>
      <c r="K29">
        <v>85</v>
      </c>
      <c r="M29">
        <f t="shared" si="0"/>
        <v>167.29182410739006</v>
      </c>
      <c r="N29">
        <f t="shared" si="1"/>
        <v>-82.291824107390056</v>
      </c>
      <c r="O29">
        <f t="shared" si="2"/>
        <v>6771.9443149216231</v>
      </c>
    </row>
    <row r="30" spans="1:15" x14ac:dyDescent="0.25">
      <c r="A30">
        <v>5.2606060237500703E-2</v>
      </c>
      <c r="B30">
        <v>-4.4641636506989137E-2</v>
      </c>
      <c r="C30">
        <v>-2.1295323170138301E-2</v>
      </c>
      <c r="D30">
        <v>-7.452744180974262E-2</v>
      </c>
      <c r="E30">
        <v>-4.0095639849842629E-2</v>
      </c>
      <c r="F30">
        <v>-3.7639098993804757E-2</v>
      </c>
      <c r="G30">
        <v>-6.584467611155497E-3</v>
      </c>
      <c r="H30">
        <v>-3.9493382874093291E-2</v>
      </c>
      <c r="I30">
        <v>-6.1173530456262162E-4</v>
      </c>
      <c r="J30">
        <v>-5.4925087393313893E-2</v>
      </c>
      <c r="K30">
        <v>131</v>
      </c>
      <c r="M30">
        <f t="shared" si="0"/>
        <v>115.70751930578881</v>
      </c>
      <c r="N30">
        <f t="shared" si="1"/>
        <v>15.292480694211193</v>
      </c>
      <c r="O30">
        <f t="shared" si="2"/>
        <v>233.85996578282206</v>
      </c>
    </row>
    <row r="31" spans="1:15" x14ac:dyDescent="0.25">
      <c r="A31">
        <v>6.7136214041578379E-2</v>
      </c>
      <c r="B31">
        <v>5.0680118739818619E-2</v>
      </c>
      <c r="C31">
        <v>-6.2059541358070831E-3</v>
      </c>
      <c r="D31">
        <v>6.3186597224227828E-2</v>
      </c>
      <c r="E31">
        <v>-4.2847545566244871E-2</v>
      </c>
      <c r="F31">
        <v>-9.5884712886658258E-2</v>
      </c>
      <c r="G31">
        <v>5.2321737254235563E-2</v>
      </c>
      <c r="H31">
        <v>-7.6394503750003298E-2</v>
      </c>
      <c r="I31">
        <v>5.9423623484649683E-2</v>
      </c>
      <c r="J31">
        <v>5.2769692392381953E-2</v>
      </c>
      <c r="K31">
        <v>283</v>
      </c>
      <c r="M31">
        <f t="shared" si="0"/>
        <v>190.78851995965417</v>
      </c>
      <c r="N31">
        <f t="shared" si="1"/>
        <v>92.211480040345833</v>
      </c>
      <c r="O31">
        <f t="shared" si="2"/>
        <v>8502.9570512310984</v>
      </c>
    </row>
    <row r="32" spans="1:15" x14ac:dyDescent="0.25">
      <c r="A32">
        <v>-6.0002631744101337E-2</v>
      </c>
      <c r="B32">
        <v>-4.4641636506989137E-2</v>
      </c>
      <c r="C32">
        <v>4.4451213336590488E-2</v>
      </c>
      <c r="D32">
        <v>-1.9441826196154439E-2</v>
      </c>
      <c r="E32">
        <v>-9.8246769694179722E-3</v>
      </c>
      <c r="F32">
        <v>-7.5768466620094281E-3</v>
      </c>
      <c r="G32">
        <v>2.2868634821540029E-2</v>
      </c>
      <c r="H32">
        <v>-3.9493382874093291E-2</v>
      </c>
      <c r="I32">
        <v>-2.712902329694316E-2</v>
      </c>
      <c r="J32">
        <v>-9.3619113301348783E-3</v>
      </c>
      <c r="K32">
        <v>129</v>
      </c>
      <c r="M32">
        <f t="shared" si="0"/>
        <v>156.67744043963773</v>
      </c>
      <c r="N32">
        <f t="shared" si="1"/>
        <v>-27.677440439637735</v>
      </c>
      <c r="O32">
        <f t="shared" si="2"/>
        <v>766.04070928969429</v>
      </c>
    </row>
    <row r="33" spans="1:15" x14ac:dyDescent="0.25">
      <c r="A33">
        <v>-2.3677247233907128E-2</v>
      </c>
      <c r="B33">
        <v>-4.4641636506989137E-2</v>
      </c>
      <c r="C33">
        <v>-6.5485618199251056E-2</v>
      </c>
      <c r="D33">
        <v>-8.141314376144114E-2</v>
      </c>
      <c r="E33">
        <v>-3.8719686991641522E-2</v>
      </c>
      <c r="F33">
        <v>-5.3609670545071042E-2</v>
      </c>
      <c r="G33">
        <v>5.9685012862409452E-2</v>
      </c>
      <c r="H33">
        <v>-7.6394503750003298E-2</v>
      </c>
      <c r="I33">
        <v>-3.71288393600719E-2</v>
      </c>
      <c r="J33">
        <v>-4.2498766648810533E-2</v>
      </c>
      <c r="K33">
        <v>59</v>
      </c>
      <c r="M33">
        <f t="shared" si="0"/>
        <v>67.812532213942006</v>
      </c>
      <c r="N33">
        <f t="shared" si="1"/>
        <v>-8.8125322139420064</v>
      </c>
      <c r="O33">
        <f t="shared" si="2"/>
        <v>77.660724021765603</v>
      </c>
    </row>
    <row r="34" spans="1:15" x14ac:dyDescent="0.25">
      <c r="A34">
        <v>3.4443367982403598E-2</v>
      </c>
      <c r="B34">
        <v>5.0680118739818619E-2</v>
      </c>
      <c r="C34">
        <v>0.12528711887765051</v>
      </c>
      <c r="D34">
        <v>2.875808746573523E-2</v>
      </c>
      <c r="E34">
        <v>-5.3855168431853832E-2</v>
      </c>
      <c r="F34">
        <v>-1.290037051243151E-2</v>
      </c>
      <c r="G34">
        <v>-0.102307050517416</v>
      </c>
      <c r="H34">
        <v>0.10811110062954681</v>
      </c>
      <c r="I34">
        <v>2.7247814860377348E-4</v>
      </c>
      <c r="J34">
        <v>2.7917050903375221E-2</v>
      </c>
      <c r="K34">
        <v>341</v>
      </c>
      <c r="M34">
        <f t="shared" si="0"/>
        <v>241.26829718897108</v>
      </c>
      <c r="N34">
        <f t="shared" si="1"/>
        <v>99.731702811028924</v>
      </c>
      <c r="O34">
        <f t="shared" si="2"/>
        <v>9946.4125455873946</v>
      </c>
    </row>
    <row r="35" spans="1:15" x14ac:dyDescent="0.25">
      <c r="A35">
        <v>3.0810829531384181E-2</v>
      </c>
      <c r="B35">
        <v>-4.4641636506989137E-2</v>
      </c>
      <c r="C35">
        <v>-5.0396249164919867E-2</v>
      </c>
      <c r="D35">
        <v>-2.2275713169081289E-3</v>
      </c>
      <c r="E35">
        <v>-4.4223498424445992E-2</v>
      </c>
      <c r="F35">
        <v>-8.9934892112657094E-2</v>
      </c>
      <c r="G35">
        <v>0.1185912177278005</v>
      </c>
      <c r="H35">
        <v>-7.6394503750003298E-2</v>
      </c>
      <c r="I35">
        <v>-1.8113692315690318E-2</v>
      </c>
      <c r="J35">
        <v>3.064409414368488E-3</v>
      </c>
      <c r="K35">
        <v>87</v>
      </c>
      <c r="M35">
        <f t="shared" si="0"/>
        <v>107.96089027527589</v>
      </c>
      <c r="N35">
        <f t="shared" si="1"/>
        <v>-20.960890275275887</v>
      </c>
      <c r="O35">
        <f t="shared" si="2"/>
        <v>439.35892113215522</v>
      </c>
    </row>
    <row r="36" spans="1:15" x14ac:dyDescent="0.25">
      <c r="A36">
        <v>1.6280675727306501E-2</v>
      </c>
      <c r="B36">
        <v>-4.4641636506989137E-2</v>
      </c>
      <c r="C36">
        <v>-6.3329994051489466E-2</v>
      </c>
      <c r="D36">
        <v>-5.7313186930496307E-2</v>
      </c>
      <c r="E36">
        <v>-5.7983027006457202E-2</v>
      </c>
      <c r="F36">
        <v>-4.8912443618228017E-2</v>
      </c>
      <c r="G36">
        <v>8.1420836051922674E-3</v>
      </c>
      <c r="H36">
        <v>-3.9493382874093291E-2</v>
      </c>
      <c r="I36">
        <v>-5.9471181357089682E-2</v>
      </c>
      <c r="J36">
        <v>-6.7351408137817259E-2</v>
      </c>
      <c r="K36">
        <v>65</v>
      </c>
      <c r="M36">
        <f t="shared" si="0"/>
        <v>65.914539549474</v>
      </c>
      <c r="N36">
        <f t="shared" si="1"/>
        <v>-0.91453954947400007</v>
      </c>
      <c r="O36">
        <f t="shared" si="2"/>
        <v>0.83638258755210704</v>
      </c>
    </row>
    <row r="37" spans="1:15" x14ac:dyDescent="0.25">
      <c r="A37">
        <v>4.8973521786481282E-2</v>
      </c>
      <c r="B37">
        <v>5.0680118739818619E-2</v>
      </c>
      <c r="C37">
        <v>-3.0995631835065481E-2</v>
      </c>
      <c r="D37">
        <v>-4.9291344156767537E-2</v>
      </c>
      <c r="E37">
        <v>4.9341295933230229E-2</v>
      </c>
      <c r="F37">
        <v>-4.1322135823245393E-3</v>
      </c>
      <c r="G37">
        <v>0.13331776894414829</v>
      </c>
      <c r="H37">
        <v>-5.351580880693909E-2</v>
      </c>
      <c r="I37">
        <v>2.131128897239698E-2</v>
      </c>
      <c r="J37">
        <v>1.9632837073706309E-2</v>
      </c>
      <c r="K37">
        <v>102</v>
      </c>
      <c r="M37">
        <f t="shared" si="0"/>
        <v>128.84437252918809</v>
      </c>
      <c r="N37">
        <f t="shared" si="1"/>
        <v>-26.844372529188092</v>
      </c>
      <c r="O37">
        <f t="shared" si="2"/>
        <v>720.62033648582826</v>
      </c>
    </row>
    <row r="38" spans="1:15" x14ac:dyDescent="0.25">
      <c r="A38">
        <v>1.264813727628708E-2</v>
      </c>
      <c r="B38">
        <v>-4.4641636506989137E-2</v>
      </c>
      <c r="C38">
        <v>2.2894971858974499E-2</v>
      </c>
      <c r="D38">
        <v>5.2858044296680062E-2</v>
      </c>
      <c r="E38">
        <v>8.0627101871965992E-3</v>
      </c>
      <c r="F38">
        <v>-2.855779360190825E-2</v>
      </c>
      <c r="G38">
        <v>3.75951860378878E-2</v>
      </c>
      <c r="H38">
        <v>-3.9493382874093291E-2</v>
      </c>
      <c r="I38">
        <v>5.4719972537909042E-2</v>
      </c>
      <c r="J38">
        <v>-2.5930338989472699E-2</v>
      </c>
      <c r="K38">
        <v>265</v>
      </c>
      <c r="M38">
        <f t="shared" si="0"/>
        <v>202.83000302514529</v>
      </c>
      <c r="N38">
        <f t="shared" si="1"/>
        <v>62.169996974854712</v>
      </c>
      <c r="O38">
        <f t="shared" si="2"/>
        <v>3865.1085238534442</v>
      </c>
    </row>
    <row r="39" spans="1:15" x14ac:dyDescent="0.25">
      <c r="A39">
        <v>-9.1470934298294448E-3</v>
      </c>
      <c r="B39">
        <v>-4.4641636506989137E-2</v>
      </c>
      <c r="C39">
        <v>1.1039039046285689E-2</v>
      </c>
      <c r="D39">
        <v>-5.7313186930496307E-2</v>
      </c>
      <c r="E39">
        <v>-2.4960158409630302E-2</v>
      </c>
      <c r="F39">
        <v>-4.2962622844226861E-2</v>
      </c>
      <c r="G39">
        <v>3.0231910429713921E-2</v>
      </c>
      <c r="H39">
        <v>-3.9493382874093291E-2</v>
      </c>
      <c r="I39">
        <v>1.703607134832455E-2</v>
      </c>
      <c r="J39">
        <v>-5.2198044153004232E-3</v>
      </c>
      <c r="K39">
        <v>276</v>
      </c>
      <c r="M39">
        <f t="shared" si="0"/>
        <v>149.42003761412406</v>
      </c>
      <c r="N39">
        <f t="shared" si="1"/>
        <v>126.57996238587594</v>
      </c>
      <c r="O39">
        <f t="shared" si="2"/>
        <v>16022.486877609768</v>
      </c>
    </row>
    <row r="40" spans="1:15" x14ac:dyDescent="0.25">
      <c r="A40">
        <v>-1.8820165277906051E-3</v>
      </c>
      <c r="B40">
        <v>5.0680118739818619E-2</v>
      </c>
      <c r="C40">
        <v>7.1396515183610482E-2</v>
      </c>
      <c r="D40">
        <v>9.7615106982720454E-2</v>
      </c>
      <c r="E40">
        <v>8.7867975962861611E-2</v>
      </c>
      <c r="F40">
        <v>7.5407495712217318E-2</v>
      </c>
      <c r="G40">
        <v>-2.1311018827503261E-2</v>
      </c>
      <c r="H40">
        <v>7.1209979753636743E-2</v>
      </c>
      <c r="I40">
        <v>7.1428872121970091E-2</v>
      </c>
      <c r="J40">
        <v>2.377494398854077E-2</v>
      </c>
      <c r="K40">
        <v>252</v>
      </c>
      <c r="M40">
        <f t="shared" si="0"/>
        <v>260.1793641782748</v>
      </c>
      <c r="N40">
        <f t="shared" si="1"/>
        <v>-8.1793641782747954</v>
      </c>
      <c r="O40">
        <f t="shared" si="2"/>
        <v>66.901998360844914</v>
      </c>
    </row>
    <row r="41" spans="1:15" x14ac:dyDescent="0.25">
      <c r="A41">
        <v>-1.8820165277906051E-3</v>
      </c>
      <c r="B41">
        <v>5.0680118739818619E-2</v>
      </c>
      <c r="C41">
        <v>1.4272475267928089E-2</v>
      </c>
      <c r="D41">
        <v>-7.452744180974262E-2</v>
      </c>
      <c r="E41">
        <v>2.558898754392116E-3</v>
      </c>
      <c r="F41">
        <v>6.2016856567301236E-3</v>
      </c>
      <c r="G41">
        <v>-1.394774321932938E-2</v>
      </c>
      <c r="H41">
        <v>-2.592261998183278E-3</v>
      </c>
      <c r="I41">
        <v>1.91964691668857E-2</v>
      </c>
      <c r="J41">
        <v>3.064409414368488E-3</v>
      </c>
      <c r="K41">
        <v>90</v>
      </c>
      <c r="M41">
        <f t="shared" si="0"/>
        <v>150.72191046215704</v>
      </c>
      <c r="N41">
        <f t="shared" si="1"/>
        <v>-60.721910462157041</v>
      </c>
      <c r="O41">
        <f t="shared" si="2"/>
        <v>3687.1504101742166</v>
      </c>
    </row>
    <row r="42" spans="1:15" x14ac:dyDescent="0.25">
      <c r="A42">
        <v>5.3830603742482368E-3</v>
      </c>
      <c r="B42">
        <v>5.0680118739818619E-2</v>
      </c>
      <c r="C42">
        <v>-8.3615782835686752E-3</v>
      </c>
      <c r="D42">
        <v>2.18723855140367E-2</v>
      </c>
      <c r="E42">
        <v>5.4845107366034707E-2</v>
      </c>
      <c r="F42">
        <v>7.3215456479690563E-2</v>
      </c>
      <c r="G42">
        <v>-2.4992656631590209E-2</v>
      </c>
      <c r="H42">
        <v>3.4308858877726729E-2</v>
      </c>
      <c r="I42">
        <v>1.2551194864223059E-2</v>
      </c>
      <c r="J42">
        <v>9.4190761540726517E-2</v>
      </c>
      <c r="K42">
        <v>100</v>
      </c>
      <c r="M42">
        <f t="shared" si="0"/>
        <v>164.44700586843234</v>
      </c>
      <c r="N42">
        <f t="shared" si="1"/>
        <v>-64.447005868432342</v>
      </c>
      <c r="O42">
        <f t="shared" si="2"/>
        <v>4153.4165654057524</v>
      </c>
    </row>
    <row r="43" spans="1:15" x14ac:dyDescent="0.25">
      <c r="A43">
        <v>-9.9960554705314952E-2</v>
      </c>
      <c r="B43">
        <v>-4.4641636506989137E-2</v>
      </c>
      <c r="C43">
        <v>-6.7641242347012645E-2</v>
      </c>
      <c r="D43">
        <v>-0.1089559515682352</v>
      </c>
      <c r="E43">
        <v>-7.4494461304870654E-2</v>
      </c>
      <c r="F43">
        <v>-7.2711726714232677E-2</v>
      </c>
      <c r="G43">
        <v>1.5505359213366149E-2</v>
      </c>
      <c r="H43">
        <v>-3.9493382874093291E-2</v>
      </c>
      <c r="I43">
        <v>-4.9872451808799317E-2</v>
      </c>
      <c r="J43">
        <v>-9.3619113301348783E-3</v>
      </c>
      <c r="K43">
        <v>55</v>
      </c>
      <c r="M43">
        <f t="shared" si="0"/>
        <v>56.684963843566322</v>
      </c>
      <c r="N43">
        <f t="shared" si="1"/>
        <v>-1.6849638435663223</v>
      </c>
      <c r="O43">
        <f t="shared" si="2"/>
        <v>2.8391031541257941</v>
      </c>
    </row>
    <row r="44" spans="1:15" x14ac:dyDescent="0.25">
      <c r="A44">
        <v>-6.0002631744101337E-2</v>
      </c>
      <c r="B44">
        <v>5.0680118739818619E-2</v>
      </c>
      <c r="C44">
        <v>-1.0517202431330299E-2</v>
      </c>
      <c r="D44">
        <v>-1.4862834398274931E-2</v>
      </c>
      <c r="E44">
        <v>-4.9727309857250483E-2</v>
      </c>
      <c r="F44">
        <v>-2.3547418213275689E-2</v>
      </c>
      <c r="G44">
        <v>-5.8127396868372677E-2</v>
      </c>
      <c r="H44">
        <v>1.5858298439771729E-2</v>
      </c>
      <c r="I44">
        <v>-9.9187655693341367E-3</v>
      </c>
      <c r="J44">
        <v>-3.4214552819141618E-2</v>
      </c>
      <c r="K44">
        <v>61</v>
      </c>
      <c r="M44">
        <f t="shared" si="0"/>
        <v>137.20889456087656</v>
      </c>
      <c r="N44">
        <f t="shared" si="1"/>
        <v>-76.208894560876558</v>
      </c>
      <c r="O44">
        <f t="shared" si="2"/>
        <v>5807.7956101908003</v>
      </c>
    </row>
    <row r="45" spans="1:15" x14ac:dyDescent="0.25">
      <c r="A45">
        <v>1.9913214178325919E-2</v>
      </c>
      <c r="B45">
        <v>-4.4641636506989137E-2</v>
      </c>
      <c r="C45">
        <v>-2.345094731789989E-2</v>
      </c>
      <c r="D45">
        <v>-7.1084590833893346E-2</v>
      </c>
      <c r="E45">
        <v>2.0446285911006681E-2</v>
      </c>
      <c r="F45">
        <v>-1.00820343563257E-2</v>
      </c>
      <c r="G45">
        <v>0.1185912177278005</v>
      </c>
      <c r="H45">
        <v>-7.6394503750003298E-2</v>
      </c>
      <c r="I45">
        <v>-4.2570854118219377E-2</v>
      </c>
      <c r="J45">
        <v>7.3480226966554235E-2</v>
      </c>
      <c r="K45">
        <v>92</v>
      </c>
      <c r="M45">
        <f t="shared" si="0"/>
        <v>96.068354701201727</v>
      </c>
      <c r="N45">
        <f t="shared" si="1"/>
        <v>-4.0683547012017272</v>
      </c>
      <c r="O45">
        <f t="shared" si="2"/>
        <v>16.551509974790196</v>
      </c>
    </row>
    <row r="46" spans="1:15" x14ac:dyDescent="0.25">
      <c r="A46">
        <v>4.5340983335461861E-2</v>
      </c>
      <c r="B46">
        <v>5.0680118739818619E-2</v>
      </c>
      <c r="C46">
        <v>6.8163078961968104E-2</v>
      </c>
      <c r="D46">
        <v>8.1009816106396553E-3</v>
      </c>
      <c r="E46">
        <v>-1.6704441260423579E-2</v>
      </c>
      <c r="F46">
        <v>4.6359433477824504E-3</v>
      </c>
      <c r="G46">
        <v>-7.6535585888807392E-2</v>
      </c>
      <c r="H46">
        <v>7.1209979753636743E-2</v>
      </c>
      <c r="I46">
        <v>3.2432324156551069E-2</v>
      </c>
      <c r="J46">
        <v>-1.764612515980379E-2</v>
      </c>
      <c r="K46">
        <v>259</v>
      </c>
      <c r="M46">
        <f t="shared" si="0"/>
        <v>214.51474230197311</v>
      </c>
      <c r="N46">
        <f t="shared" si="1"/>
        <v>44.485257698026885</v>
      </c>
      <c r="O46">
        <f t="shared" si="2"/>
        <v>1978.9381524598602</v>
      </c>
    </row>
    <row r="47" spans="1:15" x14ac:dyDescent="0.25">
      <c r="A47">
        <v>2.717829108036476E-2</v>
      </c>
      <c r="B47">
        <v>5.0680118739818619E-2</v>
      </c>
      <c r="C47">
        <v>-3.5306880130588657E-2</v>
      </c>
      <c r="D47">
        <v>3.2200938441584483E-2</v>
      </c>
      <c r="E47">
        <v>-1.120062982761909E-2</v>
      </c>
      <c r="F47">
        <v>1.5044587298871019E-3</v>
      </c>
      <c r="G47">
        <v>-1.026610541524244E-2</v>
      </c>
      <c r="H47">
        <v>-2.592261998183278E-3</v>
      </c>
      <c r="I47">
        <v>-1.495969381264341E-2</v>
      </c>
      <c r="J47">
        <v>-5.0782980478479442E-2</v>
      </c>
      <c r="K47">
        <v>53</v>
      </c>
      <c r="M47">
        <f t="shared" si="0"/>
        <v>130.54964721426774</v>
      </c>
      <c r="N47">
        <f t="shared" si="1"/>
        <v>-77.549647214267736</v>
      </c>
      <c r="O47">
        <f t="shared" si="2"/>
        <v>6013.9477830573833</v>
      </c>
    </row>
    <row r="48" spans="1:15" x14ac:dyDescent="0.25">
      <c r="A48">
        <v>-5.6370093293081923E-2</v>
      </c>
      <c r="B48">
        <v>-4.4641636506989137E-2</v>
      </c>
      <c r="C48">
        <v>-1.159501450521108E-2</v>
      </c>
      <c r="D48">
        <v>-3.3213230099551481E-2</v>
      </c>
      <c r="E48">
        <v>-4.6975404140848227E-2</v>
      </c>
      <c r="F48">
        <v>-4.7659849771069893E-2</v>
      </c>
      <c r="G48">
        <v>4.4604458011053274E-3</v>
      </c>
      <c r="H48">
        <v>-3.9493382874093291E-2</v>
      </c>
      <c r="I48">
        <v>-7.9771422134122232E-3</v>
      </c>
      <c r="J48">
        <v>-8.8061942711989541E-2</v>
      </c>
      <c r="K48">
        <v>190</v>
      </c>
      <c r="M48">
        <f t="shared" si="0"/>
        <v>127.32779558334613</v>
      </c>
      <c r="N48">
        <f t="shared" si="1"/>
        <v>62.672204416653869</v>
      </c>
      <c r="O48">
        <f t="shared" si="2"/>
        <v>3927.8052064428489</v>
      </c>
    </row>
    <row r="49" spans="1:15" x14ac:dyDescent="0.25">
      <c r="A49">
        <v>-7.8165323999198427E-2</v>
      </c>
      <c r="B49">
        <v>-4.4641636506989137E-2</v>
      </c>
      <c r="C49">
        <v>-7.3030302716416653E-2</v>
      </c>
      <c r="D49">
        <v>-5.7313186930496307E-2</v>
      </c>
      <c r="E49">
        <v>-8.4126131312278501E-2</v>
      </c>
      <c r="F49">
        <v>-7.4277469023180359E-2</v>
      </c>
      <c r="G49">
        <v>-2.4992656631590209E-2</v>
      </c>
      <c r="H49">
        <v>-3.9493382874093291E-2</v>
      </c>
      <c r="I49">
        <v>-1.8113692315690318E-2</v>
      </c>
      <c r="J49">
        <v>-8.391983579715509E-2</v>
      </c>
      <c r="K49">
        <v>142</v>
      </c>
      <c r="M49">
        <f t="shared" si="0"/>
        <v>80.249969210317801</v>
      </c>
      <c r="N49">
        <f t="shared" si="1"/>
        <v>61.750030789682199</v>
      </c>
      <c r="O49">
        <f t="shared" si="2"/>
        <v>3813.0663025266995</v>
      </c>
    </row>
    <row r="50" spans="1:15" x14ac:dyDescent="0.25">
      <c r="A50">
        <v>6.7136214041578379E-2</v>
      </c>
      <c r="B50">
        <v>5.0680118739818619E-2</v>
      </c>
      <c r="C50">
        <v>-4.1773752573873467E-2</v>
      </c>
      <c r="D50">
        <v>1.154383258648892E-2</v>
      </c>
      <c r="E50">
        <v>2.558898754392116E-3</v>
      </c>
      <c r="F50">
        <v>5.8885371949405846E-3</v>
      </c>
      <c r="G50">
        <v>4.1276823841974737E-2</v>
      </c>
      <c r="H50">
        <v>-3.9493382874093291E-2</v>
      </c>
      <c r="I50">
        <v>-5.9471181357089682E-2</v>
      </c>
      <c r="J50">
        <v>-2.1788232074638241E-2</v>
      </c>
      <c r="K50">
        <v>75</v>
      </c>
      <c r="M50">
        <f t="shared" si="0"/>
        <v>97.740348388296709</v>
      </c>
      <c r="N50">
        <f t="shared" si="1"/>
        <v>-22.740348388296709</v>
      </c>
      <c r="O50">
        <f t="shared" si="2"/>
        <v>517.12344482110871</v>
      </c>
    </row>
    <row r="51" spans="1:15" x14ac:dyDescent="0.25">
      <c r="A51">
        <v>-4.1839939489004233E-2</v>
      </c>
      <c r="B51">
        <v>5.0680118739818619E-2</v>
      </c>
      <c r="C51">
        <v>1.4272475267928089E-2</v>
      </c>
      <c r="D51">
        <v>-5.67042229275739E-3</v>
      </c>
      <c r="E51">
        <v>-1.2576582685820211E-2</v>
      </c>
      <c r="F51">
        <v>6.2016856567301236E-3</v>
      </c>
      <c r="G51">
        <v>-7.2853948084720441E-2</v>
      </c>
      <c r="H51">
        <v>7.1209979753636743E-2</v>
      </c>
      <c r="I51">
        <v>3.5458704223058572E-2</v>
      </c>
      <c r="J51">
        <v>-1.350401824496934E-2</v>
      </c>
      <c r="K51">
        <v>142</v>
      </c>
      <c r="M51">
        <f t="shared" si="0"/>
        <v>181.05427066017131</v>
      </c>
      <c r="N51">
        <f t="shared" si="1"/>
        <v>-39.054270660171312</v>
      </c>
      <c r="O51">
        <f t="shared" si="2"/>
        <v>1525.2360567979179</v>
      </c>
    </row>
    <row r="52" spans="1:15" x14ac:dyDescent="0.25">
      <c r="A52">
        <v>3.4443367982403598E-2</v>
      </c>
      <c r="B52">
        <v>-4.4641636506989137E-2</v>
      </c>
      <c r="C52">
        <v>-7.2837662096878987E-3</v>
      </c>
      <c r="D52">
        <v>1.498668356233818E-2</v>
      </c>
      <c r="E52">
        <v>-4.4223498424445992E-2</v>
      </c>
      <c r="F52">
        <v>-3.7325950532015248E-2</v>
      </c>
      <c r="G52">
        <v>-2.9028298070685561E-3</v>
      </c>
      <c r="H52">
        <v>-3.9493382874093291E-2</v>
      </c>
      <c r="I52">
        <v>-2.1395309255276829E-2</v>
      </c>
      <c r="J52">
        <v>7.206516329202944E-3</v>
      </c>
      <c r="K52">
        <v>155</v>
      </c>
      <c r="M52">
        <f t="shared" si="0"/>
        <v>138.64964093676124</v>
      </c>
      <c r="N52">
        <f t="shared" si="1"/>
        <v>16.350359063238756</v>
      </c>
      <c r="O52">
        <f t="shared" si="2"/>
        <v>267.33424149683373</v>
      </c>
    </row>
    <row r="53" spans="1:15" x14ac:dyDescent="0.25">
      <c r="A53">
        <v>5.9871137139539538E-2</v>
      </c>
      <c r="B53">
        <v>5.0680118739818619E-2</v>
      </c>
      <c r="C53">
        <v>1.6428099415689679E-2</v>
      </c>
      <c r="D53">
        <v>2.875808746573523E-2</v>
      </c>
      <c r="E53">
        <v>-4.147159270804375E-2</v>
      </c>
      <c r="F53">
        <v>-2.918409052548733E-2</v>
      </c>
      <c r="G53">
        <v>-2.867429443567714E-2</v>
      </c>
      <c r="H53">
        <v>-2.592261998183278E-3</v>
      </c>
      <c r="I53">
        <v>-2.398393416115213E-3</v>
      </c>
      <c r="J53">
        <v>-2.1788232074638241E-2</v>
      </c>
      <c r="K53">
        <v>225</v>
      </c>
      <c r="M53">
        <f t="shared" si="0"/>
        <v>167.10505189054143</v>
      </c>
      <c r="N53">
        <f t="shared" si="1"/>
        <v>57.894948109458568</v>
      </c>
      <c r="O53">
        <f t="shared" si="2"/>
        <v>3351.8250165969002</v>
      </c>
    </row>
    <row r="54" spans="1:15" x14ac:dyDescent="0.25">
      <c r="A54">
        <v>-5.2737554842062502E-2</v>
      </c>
      <c r="B54">
        <v>-4.4641636506989137E-2</v>
      </c>
      <c r="C54">
        <v>-9.4393903574494908E-3</v>
      </c>
      <c r="D54">
        <v>-5.67042229275739E-3</v>
      </c>
      <c r="E54">
        <v>3.9709625925822382E-2</v>
      </c>
      <c r="F54">
        <v>4.4718946456842913E-2</v>
      </c>
      <c r="G54">
        <v>2.655027262562697E-2</v>
      </c>
      <c r="H54">
        <v>-2.592261998183278E-3</v>
      </c>
      <c r="I54">
        <v>-1.8113692315690318E-2</v>
      </c>
      <c r="J54">
        <v>-1.350401824496934E-2</v>
      </c>
      <c r="K54">
        <v>59</v>
      </c>
      <c r="M54">
        <f t="shared" si="0"/>
        <v>135.54338632384608</v>
      </c>
      <c r="N54">
        <f t="shared" si="1"/>
        <v>-76.543386323846079</v>
      </c>
      <c r="O54">
        <f t="shared" si="2"/>
        <v>5858.8899899215467</v>
      </c>
    </row>
    <row r="55" spans="1:15" x14ac:dyDescent="0.25">
      <c r="A55">
        <v>-9.1470934298294448E-3</v>
      </c>
      <c r="B55">
        <v>-4.4641636506989137E-2</v>
      </c>
      <c r="C55">
        <v>-1.5906262800734299E-2</v>
      </c>
      <c r="D55">
        <v>7.0072299175926361E-2</v>
      </c>
      <c r="E55">
        <v>1.2190568761799961E-2</v>
      </c>
      <c r="F55">
        <v>2.2172257207996381E-2</v>
      </c>
      <c r="G55">
        <v>1.5505359213366149E-2</v>
      </c>
      <c r="H55">
        <v>-2.592261998183278E-3</v>
      </c>
      <c r="I55">
        <v>-3.3245592648227913E-2</v>
      </c>
      <c r="J55">
        <v>4.8627585477547502E-2</v>
      </c>
      <c r="K55">
        <v>104</v>
      </c>
      <c r="M55">
        <f t="shared" si="0"/>
        <v>145.75418393629315</v>
      </c>
      <c r="N55">
        <f t="shared" si="1"/>
        <v>-41.754183936293146</v>
      </c>
      <c r="O55">
        <f t="shared" si="2"/>
        <v>1743.4118761858006</v>
      </c>
    </row>
    <row r="56" spans="1:15" x14ac:dyDescent="0.25">
      <c r="A56">
        <v>-4.9105016391043067E-2</v>
      </c>
      <c r="B56">
        <v>-4.4641636506989137E-2</v>
      </c>
      <c r="C56">
        <v>2.5050596006736089E-2</v>
      </c>
      <c r="D56">
        <v>8.1009816106396553E-3</v>
      </c>
      <c r="E56">
        <v>2.0446285911006681E-2</v>
      </c>
      <c r="F56">
        <v>1.77881787429429E-2</v>
      </c>
      <c r="G56">
        <v>5.2321737254235563E-2</v>
      </c>
      <c r="H56">
        <v>-3.9493382874093291E-2</v>
      </c>
      <c r="I56">
        <v>-4.1176166918895148E-2</v>
      </c>
      <c r="J56">
        <v>7.206516329202944E-3</v>
      </c>
      <c r="K56">
        <v>182</v>
      </c>
      <c r="M56">
        <f t="shared" si="0"/>
        <v>145.97568463183933</v>
      </c>
      <c r="N56">
        <f t="shared" si="1"/>
        <v>36.024315368160671</v>
      </c>
      <c r="O56">
        <f t="shared" si="2"/>
        <v>1297.7512977446972</v>
      </c>
    </row>
    <row r="57" spans="1:15" x14ac:dyDescent="0.25">
      <c r="A57">
        <v>-4.1839939489004233E-2</v>
      </c>
      <c r="B57">
        <v>-4.4641636506989137E-2</v>
      </c>
      <c r="C57">
        <v>-4.9318437091039058E-2</v>
      </c>
      <c r="D57">
        <v>-3.6656081075400741E-2</v>
      </c>
      <c r="E57">
        <v>-7.072771253015731E-3</v>
      </c>
      <c r="F57">
        <v>-2.2607972827907091E-2</v>
      </c>
      <c r="G57">
        <v>8.5456477491018035E-2</v>
      </c>
      <c r="H57">
        <v>-3.9493382874093291E-2</v>
      </c>
      <c r="I57">
        <v>-6.6490195366760707E-2</v>
      </c>
      <c r="J57">
        <v>7.206516329202944E-3</v>
      </c>
      <c r="K57">
        <v>128</v>
      </c>
      <c r="M57">
        <f t="shared" si="0"/>
        <v>78.330021493166512</v>
      </c>
      <c r="N57">
        <f t="shared" si="1"/>
        <v>49.669978506833488</v>
      </c>
      <c r="O57">
        <f t="shared" si="2"/>
        <v>2467.1067648693006</v>
      </c>
    </row>
    <row r="58" spans="1:15" x14ac:dyDescent="0.25">
      <c r="A58">
        <v>-4.1839939489004233E-2</v>
      </c>
      <c r="B58">
        <v>-4.4641636506989137E-2</v>
      </c>
      <c r="C58">
        <v>4.1217777114948083E-2</v>
      </c>
      <c r="D58">
        <v>-2.6327528147852958E-2</v>
      </c>
      <c r="E58">
        <v>-3.1839922700635903E-2</v>
      </c>
      <c r="F58">
        <v>-3.0436684372645469E-2</v>
      </c>
      <c r="G58">
        <v>-3.6037570043851018E-2</v>
      </c>
      <c r="H58">
        <v>2.942906133203237E-3</v>
      </c>
      <c r="I58">
        <v>3.3653814906286023E-2</v>
      </c>
      <c r="J58">
        <v>-1.764612515980379E-2</v>
      </c>
      <c r="K58">
        <v>52</v>
      </c>
      <c r="M58">
        <f t="shared" si="0"/>
        <v>185.82274178420525</v>
      </c>
      <c r="N58">
        <f t="shared" si="1"/>
        <v>-133.82274178420525</v>
      </c>
      <c r="O58">
        <f t="shared" si="2"/>
        <v>17908.526218642073</v>
      </c>
    </row>
    <row r="59" spans="1:15" x14ac:dyDescent="0.25">
      <c r="A59">
        <v>-2.7309785684926549E-2</v>
      </c>
      <c r="B59">
        <v>-4.4641636506989137E-2</v>
      </c>
      <c r="C59">
        <v>-6.3329994051489466E-2</v>
      </c>
      <c r="D59">
        <v>-5.0427484978797787E-2</v>
      </c>
      <c r="E59">
        <v>-8.9629942745082972E-2</v>
      </c>
      <c r="F59">
        <v>-0.1043397213549757</v>
      </c>
      <c r="G59">
        <v>5.2321737254235563E-2</v>
      </c>
      <c r="H59">
        <v>-7.6394503750003298E-2</v>
      </c>
      <c r="I59">
        <v>-5.6153102007063332E-2</v>
      </c>
      <c r="J59">
        <v>-6.7351408137817259E-2</v>
      </c>
      <c r="K59">
        <v>37</v>
      </c>
      <c r="M59">
        <f t="shared" si="0"/>
        <v>66.826094707867355</v>
      </c>
      <c r="N59">
        <f t="shared" si="1"/>
        <v>-29.826094707867355</v>
      </c>
      <c r="O59">
        <f t="shared" si="2"/>
        <v>889.59592552267304</v>
      </c>
    </row>
    <row r="60" spans="1:15" x14ac:dyDescent="0.25">
      <c r="A60">
        <v>4.170844488444244E-2</v>
      </c>
      <c r="B60">
        <v>-4.4641636506989137E-2</v>
      </c>
      <c r="C60">
        <v>-6.4407806125370282E-2</v>
      </c>
      <c r="D60">
        <v>3.5643789417433749E-2</v>
      </c>
      <c r="E60">
        <v>1.2190568761799961E-2</v>
      </c>
      <c r="F60">
        <v>-5.7993749010124523E-2</v>
      </c>
      <c r="G60">
        <v>0.18117906039727849</v>
      </c>
      <c r="H60">
        <v>-7.6394503750003298E-2</v>
      </c>
      <c r="I60">
        <v>-6.1173530456262162E-4</v>
      </c>
      <c r="J60">
        <v>-5.0782980478479442E-2</v>
      </c>
      <c r="K60">
        <v>170</v>
      </c>
      <c r="M60">
        <f t="shared" si="0"/>
        <v>116.50554107683386</v>
      </c>
      <c r="N60">
        <f t="shared" si="1"/>
        <v>53.494458923166135</v>
      </c>
      <c r="O60">
        <f t="shared" si="2"/>
        <v>2861.6571354823091</v>
      </c>
    </row>
    <row r="61" spans="1:15" x14ac:dyDescent="0.25">
      <c r="A61">
        <v>6.3503675590558972E-2</v>
      </c>
      <c r="B61">
        <v>5.0680118739818619E-2</v>
      </c>
      <c r="C61">
        <v>-2.560657146566148E-2</v>
      </c>
      <c r="D61">
        <v>1.154383258648892E-2</v>
      </c>
      <c r="E61">
        <v>6.4476777373442554E-2</v>
      </c>
      <c r="F61">
        <v>4.8476727998317343E-2</v>
      </c>
      <c r="G61">
        <v>3.0231910429713921E-2</v>
      </c>
      <c r="H61">
        <v>-2.592261998183278E-3</v>
      </c>
      <c r="I61">
        <v>3.8393928263466423E-2</v>
      </c>
      <c r="J61">
        <v>1.9632837073706309E-2</v>
      </c>
      <c r="K61">
        <v>170</v>
      </c>
      <c r="M61">
        <f t="shared" si="0"/>
        <v>159.63938575627881</v>
      </c>
      <c r="N61">
        <f t="shared" si="1"/>
        <v>10.360614243721187</v>
      </c>
      <c r="O61">
        <f t="shared" si="2"/>
        <v>107.34232750719835</v>
      </c>
    </row>
    <row r="62" spans="1:15" x14ac:dyDescent="0.25">
      <c r="A62">
        <v>-7.0900247097159586E-2</v>
      </c>
      <c r="B62">
        <v>-4.4641636506989137E-2</v>
      </c>
      <c r="C62">
        <v>-4.0503299880454919E-3</v>
      </c>
      <c r="D62">
        <v>-4.0098932051250001E-2</v>
      </c>
      <c r="E62">
        <v>-6.6238744155663928E-2</v>
      </c>
      <c r="F62">
        <v>-7.8661547488233841E-2</v>
      </c>
      <c r="G62">
        <v>5.2321737254235563E-2</v>
      </c>
      <c r="H62">
        <v>-7.6394503750003298E-2</v>
      </c>
      <c r="I62">
        <v>-5.1403873047272987E-2</v>
      </c>
      <c r="J62">
        <v>-3.4214552819141618E-2</v>
      </c>
      <c r="K62">
        <v>61</v>
      </c>
      <c r="M62">
        <f t="shared" si="0"/>
        <v>107.60117239390084</v>
      </c>
      <c r="N62">
        <f t="shared" si="1"/>
        <v>-46.601172393900839</v>
      </c>
      <c r="O62">
        <f t="shared" si="2"/>
        <v>2171.6692684860654</v>
      </c>
    </row>
    <row r="63" spans="1:15" x14ac:dyDescent="0.25">
      <c r="A63">
        <v>-4.1839939489004233E-2</v>
      </c>
      <c r="B63">
        <v>5.0680118739818619E-2</v>
      </c>
      <c r="C63">
        <v>4.5721666030009121E-3</v>
      </c>
      <c r="D63">
        <v>-5.3870335954647047E-2</v>
      </c>
      <c r="E63">
        <v>-4.4223498424445992E-2</v>
      </c>
      <c r="F63">
        <v>-2.7305199754750119E-2</v>
      </c>
      <c r="G63">
        <v>-8.0217223692894316E-2</v>
      </c>
      <c r="H63">
        <v>7.1209979753636743E-2</v>
      </c>
      <c r="I63">
        <v>3.6643732562353669E-2</v>
      </c>
      <c r="J63">
        <v>1.9632837073706309E-2</v>
      </c>
      <c r="K63">
        <v>144</v>
      </c>
      <c r="M63">
        <f t="shared" si="0"/>
        <v>164.58861910173184</v>
      </c>
      <c r="N63">
        <f t="shared" si="1"/>
        <v>-20.588619101731837</v>
      </c>
      <c r="O63">
        <f t="shared" si="2"/>
        <v>423.89123651619707</v>
      </c>
    </row>
    <row r="64" spans="1:15" x14ac:dyDescent="0.25">
      <c r="A64">
        <v>-2.7309785684926549E-2</v>
      </c>
      <c r="B64">
        <v>5.0680118739818619E-2</v>
      </c>
      <c r="C64">
        <v>-7.2837662096878987E-3</v>
      </c>
      <c r="D64">
        <v>-4.0098932051250001E-2</v>
      </c>
      <c r="E64">
        <v>-1.120062982761909E-2</v>
      </c>
      <c r="F64">
        <v>-1.3839815897800129E-2</v>
      </c>
      <c r="G64">
        <v>5.9685012862409452E-2</v>
      </c>
      <c r="H64">
        <v>-3.9493382874093291E-2</v>
      </c>
      <c r="I64">
        <v>-8.2378690715925143E-2</v>
      </c>
      <c r="J64">
        <v>-2.5930338989472699E-2</v>
      </c>
      <c r="K64">
        <v>52</v>
      </c>
      <c r="M64">
        <f t="shared" si="0"/>
        <v>93.100505371157411</v>
      </c>
      <c r="N64">
        <f t="shared" si="1"/>
        <v>-41.100505371157411</v>
      </c>
      <c r="O64">
        <f t="shared" si="2"/>
        <v>1689.2515417645391</v>
      </c>
    </row>
    <row r="65" spans="1:15" x14ac:dyDescent="0.25">
      <c r="A65">
        <v>-3.4574862586965391E-2</v>
      </c>
      <c r="B65">
        <v>-4.4641636506989137E-2</v>
      </c>
      <c r="C65">
        <v>-3.7462504278350288E-2</v>
      </c>
      <c r="D65">
        <v>-6.0756037906345567E-2</v>
      </c>
      <c r="E65">
        <v>2.0446285911006681E-2</v>
      </c>
      <c r="F65">
        <v>4.3466352609684747E-2</v>
      </c>
      <c r="G65">
        <v>-1.394774321932938E-2</v>
      </c>
      <c r="H65">
        <v>-2.592261998183278E-3</v>
      </c>
      <c r="I65">
        <v>-3.0747917533098211E-2</v>
      </c>
      <c r="J65">
        <v>-7.149351505265171E-2</v>
      </c>
      <c r="K65">
        <v>128</v>
      </c>
      <c r="M65">
        <f t="shared" si="0"/>
        <v>96.813668085615816</v>
      </c>
      <c r="N65">
        <f t="shared" si="1"/>
        <v>31.186331914384184</v>
      </c>
      <c r="O65">
        <f t="shared" si="2"/>
        <v>972.58729827413742</v>
      </c>
    </row>
    <row r="66" spans="1:15" x14ac:dyDescent="0.25">
      <c r="A66">
        <v>6.7136214041578379E-2</v>
      </c>
      <c r="B66">
        <v>5.0680118739818619E-2</v>
      </c>
      <c r="C66">
        <v>-2.560657146566148E-2</v>
      </c>
      <c r="D66">
        <v>-4.0098932051250001E-2</v>
      </c>
      <c r="E66">
        <v>-6.3486838439261686E-2</v>
      </c>
      <c r="F66">
        <v>-5.9872639780861742E-2</v>
      </c>
      <c r="G66">
        <v>-2.9028298070685561E-3</v>
      </c>
      <c r="H66">
        <v>-3.9493382874093291E-2</v>
      </c>
      <c r="I66">
        <v>-1.9198449026275911E-2</v>
      </c>
      <c r="J66">
        <v>1.13486232440374E-2</v>
      </c>
      <c r="K66">
        <v>71</v>
      </c>
      <c r="M66">
        <f t="shared" si="0"/>
        <v>114.94099386796401</v>
      </c>
      <c r="N66">
        <f t="shared" si="1"/>
        <v>-43.940993867964011</v>
      </c>
      <c r="O66">
        <f t="shared" si="2"/>
        <v>1930.8109421044508</v>
      </c>
    </row>
    <row r="67" spans="1:15" x14ac:dyDescent="0.25">
      <c r="A67">
        <v>-4.5472477940023653E-2</v>
      </c>
      <c r="B67">
        <v>5.0680118739818619E-2</v>
      </c>
      <c r="C67">
        <v>-2.4528759391780671E-2</v>
      </c>
      <c r="D67">
        <v>5.9743746248378582E-2</v>
      </c>
      <c r="E67">
        <v>5.3108044707943572E-3</v>
      </c>
      <c r="F67">
        <v>1.49698425868371E-2</v>
      </c>
      <c r="G67">
        <v>-5.4445759064285733E-2</v>
      </c>
      <c r="H67">
        <v>7.1209979753636743E-2</v>
      </c>
      <c r="I67">
        <v>4.2340984193580157E-2</v>
      </c>
      <c r="J67">
        <v>1.549073015887186E-2</v>
      </c>
      <c r="K67">
        <v>163</v>
      </c>
      <c r="M67">
        <f t="shared" ref="M67:M130" si="3">$A$446 + SUMPRODUCT($B$446:$K$446, A67:J67)</f>
        <v>179.55411296983561</v>
      </c>
      <c r="N67">
        <f t="shared" ref="N67:N130" si="4">K67-M67</f>
        <v>-16.554112969835614</v>
      </c>
      <c r="O67">
        <f t="shared" ref="O67:O130" si="5">N67^2</f>
        <v>274.03865621807972</v>
      </c>
    </row>
    <row r="68" spans="1:15" x14ac:dyDescent="0.25">
      <c r="A68">
        <v>-9.1470934298294448E-3</v>
      </c>
      <c r="B68">
        <v>5.0680118739818619E-2</v>
      </c>
      <c r="C68">
        <v>-1.8061886948495889E-2</v>
      </c>
      <c r="D68">
        <v>-3.3213230099551481E-2</v>
      </c>
      <c r="E68">
        <v>-2.0832299835026939E-2</v>
      </c>
      <c r="F68">
        <v>1.215150643073128E-2</v>
      </c>
      <c r="G68">
        <v>-7.2853948084720441E-2</v>
      </c>
      <c r="H68">
        <v>7.1209979753636743E-2</v>
      </c>
      <c r="I68">
        <v>2.7247814860377348E-4</v>
      </c>
      <c r="J68">
        <v>1.9632837073706309E-2</v>
      </c>
      <c r="K68">
        <v>150</v>
      </c>
      <c r="M68">
        <f t="shared" si="3"/>
        <v>138.60368424717569</v>
      </c>
      <c r="N68">
        <f t="shared" si="4"/>
        <v>11.396315752824307</v>
      </c>
      <c r="O68">
        <f t="shared" si="5"/>
        <v>129.87601273807147</v>
      </c>
    </row>
    <row r="69" spans="1:15" x14ac:dyDescent="0.25">
      <c r="A69">
        <v>4.170844488444244E-2</v>
      </c>
      <c r="B69">
        <v>5.0680118739818619E-2</v>
      </c>
      <c r="C69">
        <v>-1.4828450726853491E-2</v>
      </c>
      <c r="D69">
        <v>-1.7135116042335429E-2</v>
      </c>
      <c r="E69">
        <v>-5.6968183948146092E-3</v>
      </c>
      <c r="F69">
        <v>8.3937248892568556E-3</v>
      </c>
      <c r="G69">
        <v>-1.394774321932938E-2</v>
      </c>
      <c r="H69">
        <v>-1.8542395806650941E-3</v>
      </c>
      <c r="I69">
        <v>-1.189685133569598E-2</v>
      </c>
      <c r="J69">
        <v>3.064409414368488E-3</v>
      </c>
      <c r="K69">
        <v>97</v>
      </c>
      <c r="M69">
        <f t="shared" si="3"/>
        <v>133.09739970395063</v>
      </c>
      <c r="N69">
        <f t="shared" si="4"/>
        <v>-36.097399703950629</v>
      </c>
      <c r="O69">
        <f t="shared" si="5"/>
        <v>1303.022265386775</v>
      </c>
    </row>
    <row r="70" spans="1:15" x14ac:dyDescent="0.25">
      <c r="A70">
        <v>3.8075906433423033E-2</v>
      </c>
      <c r="B70">
        <v>5.0680118739818619E-2</v>
      </c>
      <c r="C70">
        <v>-2.9917819761184659E-2</v>
      </c>
      <c r="D70">
        <v>-4.0098932051250001E-2</v>
      </c>
      <c r="E70">
        <v>-3.3215875558837017E-2</v>
      </c>
      <c r="F70">
        <v>-2.4173715136854769E-2</v>
      </c>
      <c r="G70">
        <v>-1.026610541524244E-2</v>
      </c>
      <c r="H70">
        <v>-2.592261998183278E-3</v>
      </c>
      <c r="I70">
        <v>-1.290868322540187E-2</v>
      </c>
      <c r="J70">
        <v>3.064409414368488E-3</v>
      </c>
      <c r="K70">
        <v>160</v>
      </c>
      <c r="M70">
        <f t="shared" si="3"/>
        <v>117.78997012208447</v>
      </c>
      <c r="N70">
        <f t="shared" si="4"/>
        <v>42.210029877915531</v>
      </c>
      <c r="O70">
        <f t="shared" si="5"/>
        <v>1781.6866222945218</v>
      </c>
    </row>
    <row r="71" spans="1:15" x14ac:dyDescent="0.25">
      <c r="A71">
        <v>1.6280675727306501E-2</v>
      </c>
      <c r="B71">
        <v>-4.4641636506989137E-2</v>
      </c>
      <c r="C71">
        <v>-4.608500086939666E-2</v>
      </c>
      <c r="D71">
        <v>-5.67042229275739E-3</v>
      </c>
      <c r="E71">
        <v>-7.5870414163071775E-2</v>
      </c>
      <c r="F71">
        <v>-6.1438382089809417E-2</v>
      </c>
      <c r="G71">
        <v>-1.394774321932938E-2</v>
      </c>
      <c r="H71">
        <v>-3.9493382874093291E-2</v>
      </c>
      <c r="I71">
        <v>-5.1403873047272987E-2</v>
      </c>
      <c r="J71">
        <v>1.9632837073706309E-2</v>
      </c>
      <c r="K71">
        <v>178</v>
      </c>
      <c r="M71">
        <f t="shared" si="3"/>
        <v>96.102105744537766</v>
      </c>
      <c r="N71">
        <f t="shared" si="4"/>
        <v>81.897894255462234</v>
      </c>
      <c r="O71">
        <f t="shared" si="5"/>
        <v>6707.2650834788737</v>
      </c>
    </row>
    <row r="72" spans="1:15" x14ac:dyDescent="0.25">
      <c r="A72">
        <v>-1.8820165277906051E-3</v>
      </c>
      <c r="B72">
        <v>-4.4641636506989137E-2</v>
      </c>
      <c r="C72">
        <v>-6.9796866494774276E-2</v>
      </c>
      <c r="D72">
        <v>-1.255612424445591E-2</v>
      </c>
      <c r="E72">
        <v>-1.9300696201012601E-4</v>
      </c>
      <c r="F72">
        <v>-9.1425889709571013E-3</v>
      </c>
      <c r="G72">
        <v>7.0729926274670271E-2</v>
      </c>
      <c r="H72">
        <v>-3.9493382874093291E-2</v>
      </c>
      <c r="I72">
        <v>-6.2916879143655444E-2</v>
      </c>
      <c r="J72">
        <v>4.0343371647878587E-2</v>
      </c>
      <c r="K72">
        <v>48</v>
      </c>
      <c r="M72">
        <f t="shared" si="3"/>
        <v>75.388085191799718</v>
      </c>
      <c r="N72">
        <f t="shared" si="4"/>
        <v>-27.388085191799718</v>
      </c>
      <c r="O72">
        <f t="shared" si="5"/>
        <v>750.107210473279</v>
      </c>
    </row>
    <row r="73" spans="1:15" x14ac:dyDescent="0.25">
      <c r="A73">
        <v>-1.8820165277906051E-3</v>
      </c>
      <c r="B73">
        <v>-4.4641636506989137E-2</v>
      </c>
      <c r="C73">
        <v>3.3673092597782492E-2</v>
      </c>
      <c r="D73">
        <v>0.12515791478951449</v>
      </c>
      <c r="E73">
        <v>2.4574144485610051E-2</v>
      </c>
      <c r="F73">
        <v>2.624318721126033E-2</v>
      </c>
      <c r="G73">
        <v>-1.026610541524244E-2</v>
      </c>
      <c r="H73">
        <v>-2.592261998183278E-3</v>
      </c>
      <c r="I73">
        <v>2.6716841320104621E-2</v>
      </c>
      <c r="J73">
        <v>6.1053906222050869E-2</v>
      </c>
      <c r="K73">
        <v>270</v>
      </c>
      <c r="M73">
        <f t="shared" si="3"/>
        <v>219.15737821803296</v>
      </c>
      <c r="N73">
        <f t="shared" si="4"/>
        <v>50.84262178196704</v>
      </c>
      <c r="O73">
        <f t="shared" si="5"/>
        <v>2584.9721896641495</v>
      </c>
    </row>
    <row r="74" spans="1:15" x14ac:dyDescent="0.25">
      <c r="A74">
        <v>6.3503675590558972E-2</v>
      </c>
      <c r="B74">
        <v>5.0680118739818619E-2</v>
      </c>
      <c r="C74">
        <v>-4.0503299880454919E-3</v>
      </c>
      <c r="D74">
        <v>-1.255612424445591E-2</v>
      </c>
      <c r="E74">
        <v>0.1030034574030739</v>
      </c>
      <c r="F74">
        <v>4.8789876460106851E-2</v>
      </c>
      <c r="G74">
        <v>5.6003375058322508E-2</v>
      </c>
      <c r="H74">
        <v>-2.592261998183278E-3</v>
      </c>
      <c r="I74">
        <v>8.4491530662046177E-2</v>
      </c>
      <c r="J74">
        <v>-1.764612515980379E-2</v>
      </c>
      <c r="K74">
        <v>202</v>
      </c>
      <c r="M74">
        <f t="shared" si="3"/>
        <v>187.74987017500851</v>
      </c>
      <c r="N74">
        <f t="shared" si="4"/>
        <v>14.25012982499149</v>
      </c>
      <c r="O74">
        <f t="shared" si="5"/>
        <v>203.06620002911197</v>
      </c>
    </row>
    <row r="75" spans="1:15" x14ac:dyDescent="0.25">
      <c r="A75">
        <v>1.264813727628708E-2</v>
      </c>
      <c r="B75">
        <v>5.0680118739818619E-2</v>
      </c>
      <c r="C75">
        <v>-2.0217511096257489E-2</v>
      </c>
      <c r="D75">
        <v>-2.2275713169081289E-3</v>
      </c>
      <c r="E75">
        <v>3.8333673067621261E-2</v>
      </c>
      <c r="F75">
        <v>5.317395492516036E-2</v>
      </c>
      <c r="G75">
        <v>-6.584467611155497E-3</v>
      </c>
      <c r="H75">
        <v>3.4308858877726729E-2</v>
      </c>
      <c r="I75">
        <v>-5.1421898017138907E-3</v>
      </c>
      <c r="J75">
        <v>-9.3619113301348783E-3</v>
      </c>
      <c r="K75">
        <v>111</v>
      </c>
      <c r="M75">
        <f t="shared" si="3"/>
        <v>139.20902452558317</v>
      </c>
      <c r="N75">
        <f t="shared" si="4"/>
        <v>-28.209024525583175</v>
      </c>
      <c r="O75">
        <f t="shared" si="5"/>
        <v>795.74906468495305</v>
      </c>
    </row>
    <row r="76" spans="1:15" x14ac:dyDescent="0.25">
      <c r="A76">
        <v>1.264813727628708E-2</v>
      </c>
      <c r="B76">
        <v>5.0680118739818619E-2</v>
      </c>
      <c r="C76">
        <v>2.4165424552393209E-3</v>
      </c>
      <c r="D76">
        <v>5.6300895272529322E-2</v>
      </c>
      <c r="E76">
        <v>2.732605020201229E-2</v>
      </c>
      <c r="F76">
        <v>1.7161881819363851E-2</v>
      </c>
      <c r="G76">
        <v>4.1276823841974737E-2</v>
      </c>
      <c r="H76">
        <v>-3.9493382874093291E-2</v>
      </c>
      <c r="I76">
        <v>3.7090603325595972E-3</v>
      </c>
      <c r="J76">
        <v>7.3480226966554235E-2</v>
      </c>
      <c r="K76">
        <v>85</v>
      </c>
      <c r="M76">
        <f t="shared" si="3"/>
        <v>169.55986435040705</v>
      </c>
      <c r="N76">
        <f t="shared" si="4"/>
        <v>-84.559864350407054</v>
      </c>
      <c r="O76">
        <f t="shared" si="5"/>
        <v>7150.3706589592421</v>
      </c>
    </row>
    <row r="77" spans="1:15" x14ac:dyDescent="0.25">
      <c r="A77">
        <v>-9.1470934298294448E-3</v>
      </c>
      <c r="B77">
        <v>5.0680118739818619E-2</v>
      </c>
      <c r="C77">
        <v>-3.0995631835065481E-2</v>
      </c>
      <c r="D77">
        <v>-2.6327528147852958E-2</v>
      </c>
      <c r="E77">
        <v>-1.120062982761909E-2</v>
      </c>
      <c r="F77">
        <v>-1.000728964429191E-3</v>
      </c>
      <c r="G77">
        <v>-2.1311018827503261E-2</v>
      </c>
      <c r="H77">
        <v>-2.592261998183278E-3</v>
      </c>
      <c r="I77">
        <v>6.2067354476892968E-3</v>
      </c>
      <c r="J77">
        <v>2.7917050903375221E-2</v>
      </c>
      <c r="K77">
        <v>42</v>
      </c>
      <c r="M77">
        <f t="shared" si="3"/>
        <v>130.99549597341047</v>
      </c>
      <c r="N77">
        <f t="shared" si="4"/>
        <v>-88.99549597341047</v>
      </c>
      <c r="O77">
        <f t="shared" si="5"/>
        <v>7920.1983035533194</v>
      </c>
    </row>
    <row r="78" spans="1:15" x14ac:dyDescent="0.25">
      <c r="A78">
        <v>-3.094232413594597E-2</v>
      </c>
      <c r="B78">
        <v>5.0680118739818619E-2</v>
      </c>
      <c r="C78">
        <v>2.8284032228378501E-2</v>
      </c>
      <c r="D78">
        <v>7.0072299175926361E-2</v>
      </c>
      <c r="E78">
        <v>-0.12678066991651321</v>
      </c>
      <c r="F78">
        <v>-0.106844909049292</v>
      </c>
      <c r="G78">
        <v>-5.4445759064285733E-2</v>
      </c>
      <c r="H78">
        <v>-4.7980640675552577E-2</v>
      </c>
      <c r="I78">
        <v>-3.0747917533098211E-2</v>
      </c>
      <c r="J78">
        <v>1.549073015887186E-2</v>
      </c>
      <c r="K78">
        <v>170</v>
      </c>
      <c r="M78">
        <f t="shared" si="3"/>
        <v>168.71593514267579</v>
      </c>
      <c r="N78">
        <f t="shared" si="4"/>
        <v>1.2840648573242106</v>
      </c>
      <c r="O78">
        <f t="shared" si="5"/>
        <v>1.6488225578150453</v>
      </c>
    </row>
    <row r="79" spans="1:15" x14ac:dyDescent="0.25">
      <c r="A79">
        <v>-9.6328016254295545E-2</v>
      </c>
      <c r="B79">
        <v>-4.4641636506989137E-2</v>
      </c>
      <c r="C79">
        <v>-3.6384692204469479E-2</v>
      </c>
      <c r="D79">
        <v>-7.452744180974262E-2</v>
      </c>
      <c r="E79">
        <v>-3.8719686991641522E-2</v>
      </c>
      <c r="F79">
        <v>-2.7618348216539659E-2</v>
      </c>
      <c r="G79">
        <v>1.5505359213366149E-2</v>
      </c>
      <c r="H79">
        <v>-3.9493382874093291E-2</v>
      </c>
      <c r="I79">
        <v>-7.4092607943469349E-2</v>
      </c>
      <c r="J79">
        <v>-1.0776975004659669E-3</v>
      </c>
      <c r="K79">
        <v>200</v>
      </c>
      <c r="M79">
        <f t="shared" si="3"/>
        <v>72.093969983190831</v>
      </c>
      <c r="N79">
        <f t="shared" si="4"/>
        <v>127.90603001680917</v>
      </c>
      <c r="O79">
        <f t="shared" si="5"/>
        <v>16359.952514660888</v>
      </c>
    </row>
    <row r="80" spans="1:15" x14ac:dyDescent="0.25">
      <c r="A80">
        <v>5.3830603742482368E-3</v>
      </c>
      <c r="B80">
        <v>-4.4641636506989137E-2</v>
      </c>
      <c r="C80">
        <v>-5.7940933682085471E-2</v>
      </c>
      <c r="D80">
        <v>-2.2884677172003699E-2</v>
      </c>
      <c r="E80">
        <v>-6.7614697013865049E-2</v>
      </c>
      <c r="F80">
        <v>-6.8327648249179196E-2</v>
      </c>
      <c r="G80">
        <v>-5.4445759064285733E-2</v>
      </c>
      <c r="H80">
        <v>-2.592261998183278E-3</v>
      </c>
      <c r="I80">
        <v>4.2897035952787863E-2</v>
      </c>
      <c r="J80">
        <v>-8.391983579715509E-2</v>
      </c>
      <c r="K80">
        <v>252</v>
      </c>
      <c r="M80">
        <f t="shared" si="3"/>
        <v>130.77512549999213</v>
      </c>
      <c r="N80">
        <f t="shared" si="4"/>
        <v>121.22487450000787</v>
      </c>
      <c r="O80">
        <f t="shared" si="5"/>
        <v>14695.470197542658</v>
      </c>
    </row>
    <row r="81" spans="1:15" x14ac:dyDescent="0.25">
      <c r="A81">
        <v>-0.1035930931563344</v>
      </c>
      <c r="B81">
        <v>-4.4641636506989137E-2</v>
      </c>
      <c r="C81">
        <v>-3.7462504278350288E-2</v>
      </c>
      <c r="D81">
        <v>-2.6327528147852958E-2</v>
      </c>
      <c r="E81">
        <v>2.558898754392116E-3</v>
      </c>
      <c r="F81">
        <v>1.998021797546963E-2</v>
      </c>
      <c r="G81">
        <v>1.182372140927921E-2</v>
      </c>
      <c r="H81">
        <v>-2.592261998183278E-3</v>
      </c>
      <c r="I81">
        <v>-6.83315470939731E-2</v>
      </c>
      <c r="J81">
        <v>-2.5930338989472699E-2</v>
      </c>
      <c r="K81">
        <v>113</v>
      </c>
      <c r="M81">
        <f t="shared" si="3"/>
        <v>88.476582553383778</v>
      </c>
      <c r="N81">
        <f t="shared" si="4"/>
        <v>24.523417446616222</v>
      </c>
      <c r="O81">
        <f t="shared" si="5"/>
        <v>601.39800326100089</v>
      </c>
    </row>
    <row r="82" spans="1:15" x14ac:dyDescent="0.25">
      <c r="A82">
        <v>7.07687524925978E-2</v>
      </c>
      <c r="B82">
        <v>-4.4641636506989137E-2</v>
      </c>
      <c r="C82">
        <v>1.21168511201665E-2</v>
      </c>
      <c r="D82">
        <v>4.2529491369132269E-2</v>
      </c>
      <c r="E82">
        <v>7.1356541664448159E-2</v>
      </c>
      <c r="F82">
        <v>5.3487103386949883E-2</v>
      </c>
      <c r="G82">
        <v>5.2321737254235563E-2</v>
      </c>
      <c r="H82">
        <v>-2.592261998183278E-3</v>
      </c>
      <c r="I82">
        <v>2.5395078941660071E-2</v>
      </c>
      <c r="J82">
        <v>-5.2198044153004232E-3</v>
      </c>
      <c r="K82">
        <v>143</v>
      </c>
      <c r="M82">
        <f t="shared" si="3"/>
        <v>182.46435692532526</v>
      </c>
      <c r="N82">
        <f t="shared" si="4"/>
        <v>-39.464356925325262</v>
      </c>
      <c r="O82">
        <f t="shared" si="5"/>
        <v>1557.435467529468</v>
      </c>
    </row>
    <row r="83" spans="1:15" x14ac:dyDescent="0.25">
      <c r="A83">
        <v>1.264813727628708E-2</v>
      </c>
      <c r="B83">
        <v>5.0680118739818619E-2</v>
      </c>
      <c r="C83">
        <v>-2.2373135244019071E-2</v>
      </c>
      <c r="D83">
        <v>-2.9770379123702222E-2</v>
      </c>
      <c r="E83">
        <v>1.0814615903598839E-2</v>
      </c>
      <c r="F83">
        <v>2.8435226443787081E-2</v>
      </c>
      <c r="G83">
        <v>-2.1311018827503261E-2</v>
      </c>
      <c r="H83">
        <v>3.4308858877726729E-2</v>
      </c>
      <c r="I83">
        <v>-6.0810968705400136E-3</v>
      </c>
      <c r="J83">
        <v>-1.0776975004659669E-3</v>
      </c>
      <c r="K83">
        <v>51</v>
      </c>
      <c r="M83">
        <f t="shared" si="3"/>
        <v>130.64124171677545</v>
      </c>
      <c r="N83">
        <f t="shared" si="4"/>
        <v>-79.641241716775454</v>
      </c>
      <c r="O83">
        <f t="shared" si="5"/>
        <v>6342.7273821898552</v>
      </c>
    </row>
    <row r="84" spans="1:15" x14ac:dyDescent="0.25">
      <c r="A84">
        <v>-1.641217033186829E-2</v>
      </c>
      <c r="B84">
        <v>-4.4641636506989137E-2</v>
      </c>
      <c r="C84">
        <v>-3.5306880130588657E-2</v>
      </c>
      <c r="D84">
        <v>-2.6327528147852958E-2</v>
      </c>
      <c r="E84">
        <v>3.282986163481677E-2</v>
      </c>
      <c r="F84">
        <v>1.7161881819363851E-2</v>
      </c>
      <c r="G84">
        <v>0.1001830287073658</v>
      </c>
      <c r="H84">
        <v>-3.9493382874093291E-2</v>
      </c>
      <c r="I84">
        <v>-7.0209361231625356E-2</v>
      </c>
      <c r="J84">
        <v>-7.9777728882320625E-2</v>
      </c>
      <c r="K84">
        <v>52</v>
      </c>
      <c r="M84">
        <f t="shared" si="3"/>
        <v>84.579871635170662</v>
      </c>
      <c r="N84">
        <f t="shared" si="4"/>
        <v>-32.579871635170662</v>
      </c>
      <c r="O84">
        <f t="shared" si="5"/>
        <v>1061.4480357641978</v>
      </c>
    </row>
    <row r="85" spans="1:15" x14ac:dyDescent="0.25">
      <c r="A85">
        <v>-3.8207401037984812E-2</v>
      </c>
      <c r="B85">
        <v>-4.4641636506989137E-2</v>
      </c>
      <c r="C85">
        <v>9.9612269724049084E-3</v>
      </c>
      <c r="D85">
        <v>-4.6984634002948528E-2</v>
      </c>
      <c r="E85">
        <v>-5.9358979864658323E-2</v>
      </c>
      <c r="F85">
        <v>-5.298337362149199E-2</v>
      </c>
      <c r="G85">
        <v>-1.026610541524244E-2</v>
      </c>
      <c r="H85">
        <v>-3.9493382874093291E-2</v>
      </c>
      <c r="I85">
        <v>-1.5998872510179039E-2</v>
      </c>
      <c r="J85">
        <v>-4.2498766648810533E-2</v>
      </c>
      <c r="K85">
        <v>210</v>
      </c>
      <c r="M85">
        <f t="shared" si="3"/>
        <v>133.85949791030671</v>
      </c>
      <c r="N85">
        <f t="shared" si="4"/>
        <v>76.140502089693285</v>
      </c>
      <c r="O85">
        <f t="shared" si="5"/>
        <v>5797.3760584705879</v>
      </c>
    </row>
    <row r="86" spans="1:15" x14ac:dyDescent="0.25">
      <c r="A86">
        <v>1.750521923228816E-3</v>
      </c>
      <c r="B86">
        <v>-4.4641636506989137E-2</v>
      </c>
      <c r="C86">
        <v>-3.9618128426111877E-2</v>
      </c>
      <c r="D86">
        <v>-0.1009341087945065</v>
      </c>
      <c r="E86">
        <v>-2.9088016984233661E-2</v>
      </c>
      <c r="F86">
        <v>-3.0123535910855929E-2</v>
      </c>
      <c r="G86">
        <v>4.4958461646061681E-2</v>
      </c>
      <c r="H86">
        <v>-5.0194707928107193E-2</v>
      </c>
      <c r="I86">
        <v>-6.83315470939731E-2</v>
      </c>
      <c r="J86">
        <v>-0.12948301186033409</v>
      </c>
      <c r="K86">
        <v>65</v>
      </c>
      <c r="M86">
        <f t="shared" si="3"/>
        <v>61.437489371723927</v>
      </c>
      <c r="N86">
        <f t="shared" si="4"/>
        <v>3.5625106282760726</v>
      </c>
      <c r="O86">
        <f t="shared" si="5"/>
        <v>12.691481976579977</v>
      </c>
    </row>
    <row r="87" spans="1:15" x14ac:dyDescent="0.25">
      <c r="A87">
        <v>4.5340983335461861E-2</v>
      </c>
      <c r="B87">
        <v>-4.4641636506989137E-2</v>
      </c>
      <c r="C87">
        <v>7.1396515183610482E-2</v>
      </c>
      <c r="D87">
        <v>1.2152796589411331E-3</v>
      </c>
      <c r="E87">
        <v>-9.8246769694179722E-3</v>
      </c>
      <c r="F87">
        <v>-1.000728964429191E-3</v>
      </c>
      <c r="G87">
        <v>1.5505359213366149E-2</v>
      </c>
      <c r="H87">
        <v>-3.9493382874093291E-2</v>
      </c>
      <c r="I87">
        <v>-4.1176166918895148E-2</v>
      </c>
      <c r="J87">
        <v>-7.149351505265171E-2</v>
      </c>
      <c r="K87">
        <v>141</v>
      </c>
      <c r="M87">
        <f t="shared" si="3"/>
        <v>168.82294111832178</v>
      </c>
      <c r="N87">
        <f t="shared" si="4"/>
        <v>-27.822941118321779</v>
      </c>
      <c r="O87">
        <f t="shared" si="5"/>
        <v>774.1160524736008</v>
      </c>
    </row>
    <row r="88" spans="1:15" x14ac:dyDescent="0.25">
      <c r="A88">
        <v>-7.0900247097159586E-2</v>
      </c>
      <c r="B88">
        <v>5.0680118739818619E-2</v>
      </c>
      <c r="C88">
        <v>-7.5185926864178271E-2</v>
      </c>
      <c r="D88">
        <v>-4.0098932051250001E-2</v>
      </c>
      <c r="E88">
        <v>-5.1103262715451597E-2</v>
      </c>
      <c r="F88">
        <v>-1.5092409744958259E-2</v>
      </c>
      <c r="G88">
        <v>-3.9719207847937969E-2</v>
      </c>
      <c r="H88">
        <v>-2.592261998183278E-3</v>
      </c>
      <c r="I88">
        <v>-9.6434949940487125E-2</v>
      </c>
      <c r="J88">
        <v>-3.4214552819141618E-2</v>
      </c>
      <c r="K88">
        <v>55</v>
      </c>
      <c r="M88">
        <f t="shared" si="3"/>
        <v>48.62289922163761</v>
      </c>
      <c r="N88">
        <f t="shared" si="4"/>
        <v>6.3771007783623901</v>
      </c>
      <c r="O88">
        <f t="shared" si="5"/>
        <v>40.667414337390198</v>
      </c>
    </row>
    <row r="89" spans="1:15" x14ac:dyDescent="0.25">
      <c r="A89">
        <v>4.5340983335461861E-2</v>
      </c>
      <c r="B89">
        <v>-4.4641636506989137E-2</v>
      </c>
      <c r="C89">
        <v>-6.2059541358070831E-3</v>
      </c>
      <c r="D89">
        <v>1.154383258648892E-2</v>
      </c>
      <c r="E89">
        <v>6.3100824515241433E-2</v>
      </c>
      <c r="F89">
        <v>1.6222436433995228E-2</v>
      </c>
      <c r="G89">
        <v>9.6501390903278861E-2</v>
      </c>
      <c r="H89">
        <v>-3.9493382874093291E-2</v>
      </c>
      <c r="I89">
        <v>4.2897035952787863E-2</v>
      </c>
      <c r="J89">
        <v>-3.8356659733976069E-2</v>
      </c>
      <c r="K89">
        <v>134</v>
      </c>
      <c r="M89">
        <f t="shared" si="3"/>
        <v>168.87398059315066</v>
      </c>
      <c r="N89">
        <f t="shared" si="4"/>
        <v>-34.873980593150662</v>
      </c>
      <c r="O89">
        <f t="shared" si="5"/>
        <v>1216.194522411449</v>
      </c>
    </row>
    <row r="90" spans="1:15" x14ac:dyDescent="0.25">
      <c r="A90">
        <v>-5.2737554842062502E-2</v>
      </c>
      <c r="B90">
        <v>5.0680118739818619E-2</v>
      </c>
      <c r="C90">
        <v>-4.0695940499992672E-2</v>
      </c>
      <c r="D90">
        <v>-6.7641739858044087E-2</v>
      </c>
      <c r="E90">
        <v>-3.1839922700635903E-2</v>
      </c>
      <c r="F90">
        <v>-3.7012802070225698E-2</v>
      </c>
      <c r="G90">
        <v>3.75951860378878E-2</v>
      </c>
      <c r="H90">
        <v>-3.9493382874093291E-2</v>
      </c>
      <c r="I90">
        <v>-3.4521777013622662E-2</v>
      </c>
      <c r="J90">
        <v>6.9338120051719784E-2</v>
      </c>
      <c r="K90">
        <v>42</v>
      </c>
      <c r="M90">
        <f t="shared" si="3"/>
        <v>93.240355750468467</v>
      </c>
      <c r="N90">
        <f t="shared" si="4"/>
        <v>-51.240355750468467</v>
      </c>
      <c r="O90">
        <f t="shared" si="5"/>
        <v>2625.5740574345668</v>
      </c>
    </row>
    <row r="91" spans="1:15" x14ac:dyDescent="0.25">
      <c r="A91">
        <v>-4.5472477940023653E-2</v>
      </c>
      <c r="B91">
        <v>-4.4641636506989137E-2</v>
      </c>
      <c r="C91">
        <v>-4.8240625017158277E-2</v>
      </c>
      <c r="D91">
        <v>-1.9441826196154439E-2</v>
      </c>
      <c r="E91">
        <v>-1.9300696201012601E-4</v>
      </c>
      <c r="F91">
        <v>-1.6031855130326862E-2</v>
      </c>
      <c r="G91">
        <v>6.7048288470583334E-2</v>
      </c>
      <c r="H91">
        <v>-3.9493382874093291E-2</v>
      </c>
      <c r="I91">
        <v>-2.4795429028792799E-2</v>
      </c>
      <c r="J91">
        <v>1.9632837073706309E-2</v>
      </c>
      <c r="K91">
        <v>111</v>
      </c>
      <c r="M91">
        <f t="shared" si="3"/>
        <v>104.50399658632816</v>
      </c>
      <c r="N91">
        <f t="shared" si="4"/>
        <v>6.4960034136718434</v>
      </c>
      <c r="O91">
        <f t="shared" si="5"/>
        <v>42.198060350436243</v>
      </c>
    </row>
    <row r="92" spans="1:15" x14ac:dyDescent="0.25">
      <c r="A92">
        <v>1.264813727628708E-2</v>
      </c>
      <c r="B92">
        <v>-4.4641636506989137E-2</v>
      </c>
      <c r="C92">
        <v>-2.560657146566148E-2</v>
      </c>
      <c r="D92">
        <v>-4.0098932051250001E-2</v>
      </c>
      <c r="E92">
        <v>-3.0463969842434779E-2</v>
      </c>
      <c r="F92">
        <v>-4.5154662076753622E-2</v>
      </c>
      <c r="G92">
        <v>7.809320188284416E-2</v>
      </c>
      <c r="H92">
        <v>-7.6394503750003298E-2</v>
      </c>
      <c r="I92">
        <v>-7.2132753382327428E-2</v>
      </c>
      <c r="J92">
        <v>1.13486232440374E-2</v>
      </c>
      <c r="K92">
        <v>98</v>
      </c>
      <c r="M92">
        <f t="shared" si="3"/>
        <v>86.138481636190235</v>
      </c>
      <c r="N92">
        <f t="shared" si="4"/>
        <v>11.861518363809765</v>
      </c>
      <c r="O92">
        <f t="shared" si="5"/>
        <v>140.69561789499627</v>
      </c>
    </row>
    <row r="93" spans="1:15" x14ac:dyDescent="0.25">
      <c r="A93">
        <v>4.5340983335461861E-2</v>
      </c>
      <c r="B93">
        <v>-4.4641636506989137E-2</v>
      </c>
      <c r="C93">
        <v>5.1995897853756072E-2</v>
      </c>
      <c r="D93">
        <v>-5.3870335954647047E-2</v>
      </c>
      <c r="E93">
        <v>6.3100824515241433E-2</v>
      </c>
      <c r="F93">
        <v>6.4760448011373165E-2</v>
      </c>
      <c r="G93">
        <v>-1.026610541524244E-2</v>
      </c>
      <c r="H93">
        <v>3.4308858877726729E-2</v>
      </c>
      <c r="I93">
        <v>3.7236246732001217E-2</v>
      </c>
      <c r="J93">
        <v>1.9632837073706309E-2</v>
      </c>
      <c r="K93">
        <v>164</v>
      </c>
      <c r="M93">
        <f t="shared" si="3"/>
        <v>190.12910885247973</v>
      </c>
      <c r="N93">
        <f t="shared" si="4"/>
        <v>-26.129108852479732</v>
      </c>
      <c r="O93">
        <f t="shared" si="5"/>
        <v>682.73032942473469</v>
      </c>
    </row>
    <row r="94" spans="1:15" x14ac:dyDescent="0.25">
      <c r="A94">
        <v>-2.0044708782887711E-2</v>
      </c>
      <c r="B94">
        <v>-4.4641636506989137E-2</v>
      </c>
      <c r="C94">
        <v>4.5721666030009121E-3</v>
      </c>
      <c r="D94">
        <v>9.7615106982720454E-2</v>
      </c>
      <c r="E94">
        <v>5.3108044707943572E-3</v>
      </c>
      <c r="F94">
        <v>-2.0729082057169879E-2</v>
      </c>
      <c r="G94">
        <v>6.3366650666496382E-2</v>
      </c>
      <c r="H94">
        <v>-3.9493382874093291E-2</v>
      </c>
      <c r="I94">
        <v>1.2551194864223059E-2</v>
      </c>
      <c r="J94">
        <v>1.13486232440374E-2</v>
      </c>
      <c r="K94">
        <v>48</v>
      </c>
      <c r="M94">
        <f t="shared" si="3"/>
        <v>183.89093588452846</v>
      </c>
      <c r="N94">
        <f t="shared" si="4"/>
        <v>-135.89093588452846</v>
      </c>
      <c r="O94">
        <f t="shared" si="5"/>
        <v>18466.346455573024</v>
      </c>
    </row>
    <row r="95" spans="1:15" x14ac:dyDescent="0.25">
      <c r="A95">
        <v>-4.9105016391043067E-2</v>
      </c>
      <c r="B95">
        <v>-4.4641636506989137E-2</v>
      </c>
      <c r="C95">
        <v>-6.4407806125370282E-2</v>
      </c>
      <c r="D95">
        <v>-0.1020702496165367</v>
      </c>
      <c r="E95">
        <v>-2.944912678412368E-3</v>
      </c>
      <c r="F95">
        <v>-1.5405558206747799E-2</v>
      </c>
      <c r="G95">
        <v>6.3366650666496382E-2</v>
      </c>
      <c r="H95">
        <v>-4.7242618258034393E-2</v>
      </c>
      <c r="I95">
        <v>-3.3245592648227913E-2</v>
      </c>
      <c r="J95">
        <v>-5.4925087393313893E-2</v>
      </c>
      <c r="K95">
        <v>96</v>
      </c>
      <c r="M95">
        <f t="shared" si="3"/>
        <v>66.633763773302391</v>
      </c>
      <c r="N95">
        <f t="shared" si="4"/>
        <v>29.366236226697609</v>
      </c>
      <c r="O95">
        <f t="shared" si="5"/>
        <v>862.37583012220705</v>
      </c>
    </row>
    <row r="96" spans="1:15" x14ac:dyDescent="0.25">
      <c r="A96">
        <v>-7.8165323999198427E-2</v>
      </c>
      <c r="B96">
        <v>-4.4641636506989137E-2</v>
      </c>
      <c r="C96">
        <v>-1.698407487461508E-2</v>
      </c>
      <c r="D96">
        <v>-1.255612424445591E-2</v>
      </c>
      <c r="E96">
        <v>-1.9300696201012601E-4</v>
      </c>
      <c r="F96">
        <v>-1.352666743601059E-2</v>
      </c>
      <c r="G96">
        <v>7.0729926274670271E-2</v>
      </c>
      <c r="H96">
        <v>-3.9493382874093291E-2</v>
      </c>
      <c r="I96">
        <v>-4.1176166918895148E-2</v>
      </c>
      <c r="J96">
        <v>-9.2204049626824006E-2</v>
      </c>
      <c r="K96">
        <v>90</v>
      </c>
      <c r="M96">
        <f t="shared" si="3"/>
        <v>112.88054193946058</v>
      </c>
      <c r="N96">
        <f t="shared" si="4"/>
        <v>-22.880541939460585</v>
      </c>
      <c r="O96">
        <f t="shared" si="5"/>
        <v>523.51919944341478</v>
      </c>
    </row>
    <row r="97" spans="1:15" x14ac:dyDescent="0.25">
      <c r="A97">
        <v>-7.0900247097159586E-2</v>
      </c>
      <c r="B97">
        <v>-4.4641636506989137E-2</v>
      </c>
      <c r="C97">
        <v>-5.7940933682085471E-2</v>
      </c>
      <c r="D97">
        <v>-8.141314376144114E-2</v>
      </c>
      <c r="E97">
        <v>-4.5599451282647113E-2</v>
      </c>
      <c r="F97">
        <v>-2.887094206369779E-2</v>
      </c>
      <c r="G97">
        <v>-4.3400845652024907E-2</v>
      </c>
      <c r="H97">
        <v>-2.592261998183278E-3</v>
      </c>
      <c r="I97">
        <v>1.147575999160146E-3</v>
      </c>
      <c r="J97">
        <v>-5.2198044153004232E-3</v>
      </c>
      <c r="K97">
        <v>162</v>
      </c>
      <c r="M97">
        <f t="shared" si="3"/>
        <v>97.449761440416779</v>
      </c>
      <c r="N97">
        <f t="shared" si="4"/>
        <v>64.550238559583221</v>
      </c>
      <c r="O97">
        <f t="shared" si="5"/>
        <v>4166.7332980991041</v>
      </c>
    </row>
    <row r="98" spans="1:15" x14ac:dyDescent="0.25">
      <c r="A98">
        <v>5.6238598688520117E-2</v>
      </c>
      <c r="B98">
        <v>5.0680118739818619E-2</v>
      </c>
      <c r="C98">
        <v>9.9612269724049084E-3</v>
      </c>
      <c r="D98">
        <v>4.9415193320830803E-2</v>
      </c>
      <c r="E98">
        <v>-4.320865536613489E-3</v>
      </c>
      <c r="F98">
        <v>-1.2274073588852449E-2</v>
      </c>
      <c r="G98">
        <v>-4.3400845652024907E-2</v>
      </c>
      <c r="H98">
        <v>3.4308858877726729E-2</v>
      </c>
      <c r="I98">
        <v>6.0790963876144001E-2</v>
      </c>
      <c r="J98">
        <v>3.2059157818209678E-2</v>
      </c>
      <c r="K98">
        <v>150</v>
      </c>
      <c r="M98">
        <f t="shared" si="3"/>
        <v>204.25668426433236</v>
      </c>
      <c r="N98">
        <f t="shared" si="4"/>
        <v>-54.256684264332364</v>
      </c>
      <c r="O98">
        <f t="shared" si="5"/>
        <v>2943.7877873594512</v>
      </c>
    </row>
    <row r="99" spans="1:15" x14ac:dyDescent="0.25">
      <c r="A99">
        <v>-2.7309785684926549E-2</v>
      </c>
      <c r="B99">
        <v>-4.4641636506989137E-2</v>
      </c>
      <c r="C99">
        <v>8.8641508365703281E-2</v>
      </c>
      <c r="D99">
        <v>-2.5191387325822712E-2</v>
      </c>
      <c r="E99">
        <v>2.1822238769207809E-2</v>
      </c>
      <c r="F99">
        <v>4.2526907224316159E-2</v>
      </c>
      <c r="G99">
        <v>-3.2355932239764087E-2</v>
      </c>
      <c r="H99">
        <v>3.4308858877726729E-2</v>
      </c>
      <c r="I99">
        <v>2.8613092898330471E-3</v>
      </c>
      <c r="J99">
        <v>7.7622333881388686E-2</v>
      </c>
      <c r="K99">
        <v>279</v>
      </c>
      <c r="M99">
        <f t="shared" si="3"/>
        <v>203.74797716240263</v>
      </c>
      <c r="N99">
        <f t="shared" si="4"/>
        <v>75.252022837597366</v>
      </c>
      <c r="O99">
        <f t="shared" si="5"/>
        <v>5662.8669411502751</v>
      </c>
    </row>
    <row r="100" spans="1:15" x14ac:dyDescent="0.25">
      <c r="A100">
        <v>1.750521923228816E-3</v>
      </c>
      <c r="B100">
        <v>5.0680118739818619E-2</v>
      </c>
      <c r="C100">
        <v>-5.1281420619263074E-3</v>
      </c>
      <c r="D100">
        <v>-1.255612424445591E-2</v>
      </c>
      <c r="E100">
        <v>-1.5328488402222449E-2</v>
      </c>
      <c r="F100">
        <v>-1.3839815897800129E-2</v>
      </c>
      <c r="G100">
        <v>8.1420836051922674E-3</v>
      </c>
      <c r="H100">
        <v>-3.9493382874093291E-2</v>
      </c>
      <c r="I100">
        <v>-6.0810968705400136E-3</v>
      </c>
      <c r="J100">
        <v>-6.7351408137817259E-2</v>
      </c>
      <c r="K100">
        <v>92</v>
      </c>
      <c r="M100">
        <f t="shared" si="3"/>
        <v>138.04131049182354</v>
      </c>
      <c r="N100">
        <f t="shared" si="4"/>
        <v>-46.041310491823538</v>
      </c>
      <c r="O100">
        <f t="shared" si="5"/>
        <v>2119.8022718045004</v>
      </c>
    </row>
    <row r="101" spans="1:15" x14ac:dyDescent="0.25">
      <c r="A101">
        <v>-1.8820165277906051E-3</v>
      </c>
      <c r="B101">
        <v>-4.4641636506989137E-2</v>
      </c>
      <c r="C101">
        <v>-6.4407806125370282E-2</v>
      </c>
      <c r="D101">
        <v>1.154383258648892E-2</v>
      </c>
      <c r="E101">
        <v>2.732605020201229E-2</v>
      </c>
      <c r="F101">
        <v>3.7516531835683618E-2</v>
      </c>
      <c r="G101">
        <v>-1.394774321932938E-2</v>
      </c>
      <c r="H101">
        <v>3.4308858877726729E-2</v>
      </c>
      <c r="I101">
        <v>1.178548424498623E-2</v>
      </c>
      <c r="J101">
        <v>-5.4925087393313893E-2</v>
      </c>
      <c r="K101">
        <v>83</v>
      </c>
      <c r="M101">
        <f t="shared" si="3"/>
        <v>123.85218603393473</v>
      </c>
      <c r="N101">
        <f t="shared" si="4"/>
        <v>-40.852186033934728</v>
      </c>
      <c r="O101">
        <f t="shared" si="5"/>
        <v>1668.9011037512116</v>
      </c>
    </row>
    <row r="102" spans="1:15" x14ac:dyDescent="0.25">
      <c r="A102">
        <v>1.6280675727306501E-2</v>
      </c>
      <c r="B102">
        <v>-4.4641636506989137E-2</v>
      </c>
      <c r="C102">
        <v>1.7505911489570501E-2</v>
      </c>
      <c r="D102">
        <v>-2.2884677172003699E-2</v>
      </c>
      <c r="E102">
        <v>6.0348918798839191E-2</v>
      </c>
      <c r="F102">
        <v>4.4405797995053391E-2</v>
      </c>
      <c r="G102">
        <v>3.0231910429713921E-2</v>
      </c>
      <c r="H102">
        <v>-2.592261998183278E-3</v>
      </c>
      <c r="I102">
        <v>3.7236246732001217E-2</v>
      </c>
      <c r="J102">
        <v>-1.0776975004659669E-3</v>
      </c>
      <c r="K102">
        <v>128</v>
      </c>
      <c r="M102">
        <f t="shared" si="3"/>
        <v>174.76110607208832</v>
      </c>
      <c r="N102">
        <f t="shared" si="4"/>
        <v>-46.761106072088324</v>
      </c>
      <c r="O102">
        <f t="shared" si="5"/>
        <v>2186.6010410850954</v>
      </c>
    </row>
    <row r="103" spans="1:15" x14ac:dyDescent="0.25">
      <c r="A103">
        <v>1.6280675727306501E-2</v>
      </c>
      <c r="B103">
        <v>5.0680118739818619E-2</v>
      </c>
      <c r="C103">
        <v>-4.5007188795515879E-2</v>
      </c>
      <c r="D103">
        <v>6.3186597224227828E-2</v>
      </c>
      <c r="E103">
        <v>1.0814615903598839E-2</v>
      </c>
      <c r="F103">
        <v>-3.7443204085011209E-4</v>
      </c>
      <c r="G103">
        <v>6.3366650666496382E-2</v>
      </c>
      <c r="H103">
        <v>-3.9493382874093291E-2</v>
      </c>
      <c r="I103">
        <v>-3.0747917533098211E-2</v>
      </c>
      <c r="J103">
        <v>3.6201264733044143E-2</v>
      </c>
      <c r="K103">
        <v>102</v>
      </c>
      <c r="M103">
        <f t="shared" si="3"/>
        <v>125.2775673903579</v>
      </c>
      <c r="N103">
        <f t="shared" si="4"/>
        <v>-23.277567390357902</v>
      </c>
      <c r="O103">
        <f t="shared" si="5"/>
        <v>541.8451436126536</v>
      </c>
    </row>
    <row r="104" spans="1:15" x14ac:dyDescent="0.25">
      <c r="A104">
        <v>-9.2695477803276125E-2</v>
      </c>
      <c r="B104">
        <v>-4.4641636506989137E-2</v>
      </c>
      <c r="C104">
        <v>2.8284032228378501E-2</v>
      </c>
      <c r="D104">
        <v>-1.5998975220305179E-2</v>
      </c>
      <c r="E104">
        <v>3.695772020942014E-2</v>
      </c>
      <c r="F104">
        <v>2.4990593364102219E-2</v>
      </c>
      <c r="G104">
        <v>5.6003375058322508E-2</v>
      </c>
      <c r="H104">
        <v>-3.9493382874093291E-2</v>
      </c>
      <c r="I104">
        <v>-5.1421898017138907E-3</v>
      </c>
      <c r="J104">
        <v>-1.0776975004659669E-3</v>
      </c>
      <c r="K104">
        <v>302</v>
      </c>
      <c r="M104">
        <f t="shared" si="3"/>
        <v>159.28583147324315</v>
      </c>
      <c r="N104">
        <f t="shared" si="4"/>
        <v>142.71416852675685</v>
      </c>
      <c r="O104">
        <f t="shared" si="5"/>
        <v>20367.333898283556</v>
      </c>
    </row>
    <row r="105" spans="1:15" x14ac:dyDescent="0.25">
      <c r="A105">
        <v>5.9871137139539538E-2</v>
      </c>
      <c r="B105">
        <v>5.0680118739818619E-2</v>
      </c>
      <c r="C105">
        <v>4.1217777114948083E-2</v>
      </c>
      <c r="D105">
        <v>1.154383258648892E-2</v>
      </c>
      <c r="E105">
        <v>4.1085578784023503E-2</v>
      </c>
      <c r="F105">
        <v>7.07102687853743E-2</v>
      </c>
      <c r="G105">
        <v>-3.6037570043851018E-2</v>
      </c>
      <c r="H105">
        <v>3.4308858877726729E-2</v>
      </c>
      <c r="I105">
        <v>-1.0903250651210131E-2</v>
      </c>
      <c r="J105">
        <v>-3.007244590430716E-2</v>
      </c>
      <c r="K105">
        <v>198</v>
      </c>
      <c r="M105">
        <f t="shared" si="3"/>
        <v>175.20015112717712</v>
      </c>
      <c r="N105">
        <f t="shared" si="4"/>
        <v>22.799848872822878</v>
      </c>
      <c r="O105">
        <f t="shared" si="5"/>
        <v>519.83310862356268</v>
      </c>
    </row>
    <row r="106" spans="1:15" x14ac:dyDescent="0.25">
      <c r="A106">
        <v>-2.7309785684926549E-2</v>
      </c>
      <c r="B106">
        <v>-4.4641636506989137E-2</v>
      </c>
      <c r="C106">
        <v>6.4929642740325658E-2</v>
      </c>
      <c r="D106">
        <v>-2.2275713169081289E-3</v>
      </c>
      <c r="E106">
        <v>-2.4960158409630302E-2</v>
      </c>
      <c r="F106">
        <v>-1.728444897748499E-2</v>
      </c>
      <c r="G106">
        <v>2.2868634821540029E-2</v>
      </c>
      <c r="H106">
        <v>-3.9493382874093291E-2</v>
      </c>
      <c r="I106">
        <v>-6.1175799045152628E-2</v>
      </c>
      <c r="J106">
        <v>-6.3209301222982794E-2</v>
      </c>
      <c r="K106">
        <v>95</v>
      </c>
      <c r="M106">
        <f t="shared" si="3"/>
        <v>154.48041988093564</v>
      </c>
      <c r="N106">
        <f t="shared" si="4"/>
        <v>-59.480419880935642</v>
      </c>
      <c r="O106">
        <f t="shared" si="5"/>
        <v>3537.9203492124038</v>
      </c>
    </row>
    <row r="107" spans="1:15" x14ac:dyDescent="0.25">
      <c r="A107">
        <v>2.3545752629345339E-2</v>
      </c>
      <c r="B107">
        <v>5.0680118739818619E-2</v>
      </c>
      <c r="C107">
        <v>-3.20734439089463E-2</v>
      </c>
      <c r="D107">
        <v>-4.0098932051250001E-2</v>
      </c>
      <c r="E107">
        <v>-3.1839922700635903E-2</v>
      </c>
      <c r="F107">
        <v>-2.1668527442538499E-2</v>
      </c>
      <c r="G107">
        <v>-1.394774321932938E-2</v>
      </c>
      <c r="H107">
        <v>-2.592261998183278E-3</v>
      </c>
      <c r="I107">
        <v>-1.0903250651210131E-2</v>
      </c>
      <c r="J107">
        <v>1.9632837073706309E-2</v>
      </c>
      <c r="K107">
        <v>53</v>
      </c>
      <c r="M107">
        <f t="shared" si="3"/>
        <v>118.05149675248424</v>
      </c>
      <c r="N107">
        <f t="shared" si="4"/>
        <v>-65.05149675248424</v>
      </c>
      <c r="O107">
        <f t="shared" si="5"/>
        <v>4231.6972297384673</v>
      </c>
    </row>
    <row r="108" spans="1:15" x14ac:dyDescent="0.25">
      <c r="A108">
        <v>-9.6328016254295545E-2</v>
      </c>
      <c r="B108">
        <v>-4.4641636506989137E-2</v>
      </c>
      <c r="C108">
        <v>-7.6263738938059059E-2</v>
      </c>
      <c r="D108">
        <v>-4.3541783027099268E-2</v>
      </c>
      <c r="E108">
        <v>-4.5599451282647113E-2</v>
      </c>
      <c r="F108">
        <v>-3.482076283769895E-2</v>
      </c>
      <c r="G108">
        <v>8.1420836051922674E-3</v>
      </c>
      <c r="H108">
        <v>-3.9493382874093291E-2</v>
      </c>
      <c r="I108">
        <v>-5.9471181357089682E-2</v>
      </c>
      <c r="J108">
        <v>-8.391983579715509E-2</v>
      </c>
      <c r="K108">
        <v>134</v>
      </c>
      <c r="M108">
        <f t="shared" si="3"/>
        <v>61.368469288518256</v>
      </c>
      <c r="N108">
        <f t="shared" si="4"/>
        <v>72.631530711481744</v>
      </c>
      <c r="O108">
        <f t="shared" si="5"/>
        <v>5275.3392534929162</v>
      </c>
    </row>
    <row r="109" spans="1:15" x14ac:dyDescent="0.25">
      <c r="A109">
        <v>2.717829108036476E-2</v>
      </c>
      <c r="B109">
        <v>-4.4641636506989137E-2</v>
      </c>
      <c r="C109">
        <v>4.9840273705994483E-2</v>
      </c>
      <c r="D109">
        <v>-5.5006476776677297E-2</v>
      </c>
      <c r="E109">
        <v>-2.944912678412368E-3</v>
      </c>
      <c r="F109">
        <v>4.0648016453578961E-2</v>
      </c>
      <c r="G109">
        <v>-5.8127396868372677E-2</v>
      </c>
      <c r="H109">
        <v>5.275941931568174E-2</v>
      </c>
      <c r="I109">
        <v>-5.2962641093576568E-2</v>
      </c>
      <c r="J109">
        <v>-5.2198044153004232E-3</v>
      </c>
      <c r="K109">
        <v>144</v>
      </c>
      <c r="M109">
        <f t="shared" si="3"/>
        <v>144.24152350611448</v>
      </c>
      <c r="N109">
        <f t="shared" si="4"/>
        <v>-0.24152350611447559</v>
      </c>
      <c r="O109">
        <f t="shared" si="5"/>
        <v>5.8333604005829133E-2</v>
      </c>
    </row>
    <row r="110" spans="1:15" x14ac:dyDescent="0.25">
      <c r="A110">
        <v>1.9913214178325919E-2</v>
      </c>
      <c r="B110">
        <v>5.0680118739818619E-2</v>
      </c>
      <c r="C110">
        <v>4.5529025410471297E-2</v>
      </c>
      <c r="D110">
        <v>2.989422828776547E-2</v>
      </c>
      <c r="E110">
        <v>-6.2110885581060572E-2</v>
      </c>
      <c r="F110">
        <v>-5.5801709777597797E-2</v>
      </c>
      <c r="G110">
        <v>-7.2853948084720441E-2</v>
      </c>
      <c r="H110">
        <v>2.692863470254472E-2</v>
      </c>
      <c r="I110">
        <v>4.5604369927946697E-2</v>
      </c>
      <c r="J110">
        <v>4.0343371647878587E-2</v>
      </c>
      <c r="K110">
        <v>232</v>
      </c>
      <c r="M110">
        <f t="shared" si="3"/>
        <v>212.25965140222598</v>
      </c>
      <c r="N110">
        <f t="shared" si="4"/>
        <v>19.740348597774016</v>
      </c>
      <c r="O110">
        <f t="shared" si="5"/>
        <v>389.68136276163858</v>
      </c>
    </row>
    <row r="111" spans="1:15" x14ac:dyDescent="0.25">
      <c r="A111">
        <v>3.8075906433423033E-2</v>
      </c>
      <c r="B111">
        <v>5.0680118739818619E-2</v>
      </c>
      <c r="C111">
        <v>-9.4393903574494908E-3</v>
      </c>
      <c r="D111">
        <v>2.3514204809713828E-3</v>
      </c>
      <c r="E111">
        <v>1.182945896190995E-3</v>
      </c>
      <c r="F111">
        <v>3.7516531835683618E-2</v>
      </c>
      <c r="G111">
        <v>-5.4445759064285733E-2</v>
      </c>
      <c r="H111">
        <v>5.0176340854368021E-2</v>
      </c>
      <c r="I111">
        <v>-2.5953110560258001E-2</v>
      </c>
      <c r="J111">
        <v>0.1066170822852299</v>
      </c>
      <c r="K111">
        <v>81</v>
      </c>
      <c r="M111">
        <f t="shared" si="3"/>
        <v>141.13384440914595</v>
      </c>
      <c r="N111">
        <f t="shared" si="4"/>
        <v>-60.133844409145951</v>
      </c>
      <c r="O111">
        <f t="shared" si="5"/>
        <v>3616.0792434233736</v>
      </c>
    </row>
    <row r="112" spans="1:15" x14ac:dyDescent="0.25">
      <c r="A112">
        <v>4.170844488444244E-2</v>
      </c>
      <c r="B112">
        <v>5.0680118739818619E-2</v>
      </c>
      <c r="C112">
        <v>-3.20734439089463E-2</v>
      </c>
      <c r="D112">
        <v>-2.2884677172003699E-2</v>
      </c>
      <c r="E112">
        <v>-4.9727309857250483E-2</v>
      </c>
      <c r="F112">
        <v>-4.0144286688121048E-2</v>
      </c>
      <c r="G112">
        <v>3.0231910429713921E-2</v>
      </c>
      <c r="H112">
        <v>-3.9493382874093291E-2</v>
      </c>
      <c r="I112">
        <v>-0.12609712083330471</v>
      </c>
      <c r="J112">
        <v>1.549073015887186E-2</v>
      </c>
      <c r="K112">
        <v>104</v>
      </c>
      <c r="M112">
        <f t="shared" si="3"/>
        <v>62.63501356667949</v>
      </c>
      <c r="N112">
        <f t="shared" si="4"/>
        <v>41.36498643332051</v>
      </c>
      <c r="O112">
        <f t="shared" si="5"/>
        <v>1711.0621026287899</v>
      </c>
    </row>
    <row r="113" spans="1:15" x14ac:dyDescent="0.25">
      <c r="A113">
        <v>1.9913214178325919E-2</v>
      </c>
      <c r="B113">
        <v>-4.4641636506989137E-2</v>
      </c>
      <c r="C113">
        <v>4.5721666030009121E-3</v>
      </c>
      <c r="D113">
        <v>-2.6327528147852958E-2</v>
      </c>
      <c r="E113">
        <v>2.319819162740893E-2</v>
      </c>
      <c r="F113">
        <v>1.027261565999407E-2</v>
      </c>
      <c r="G113">
        <v>6.7048288470583334E-2</v>
      </c>
      <c r="H113">
        <v>-3.9493382874093291E-2</v>
      </c>
      <c r="I113">
        <v>-2.3646863099937548E-2</v>
      </c>
      <c r="J113">
        <v>-4.6640873563644977E-2</v>
      </c>
      <c r="K113">
        <v>59</v>
      </c>
      <c r="M113">
        <f t="shared" si="3"/>
        <v>132.1023851698119</v>
      </c>
      <c r="N113">
        <f t="shared" si="4"/>
        <v>-73.102385169811896</v>
      </c>
      <c r="O113">
        <f t="shared" si="5"/>
        <v>5343.9587175155339</v>
      </c>
    </row>
    <row r="114" spans="1:15" x14ac:dyDescent="0.25">
      <c r="A114">
        <v>-8.5430400901237283E-2</v>
      </c>
      <c r="B114">
        <v>-4.4641636506989137E-2</v>
      </c>
      <c r="C114">
        <v>2.073934771121291E-2</v>
      </c>
      <c r="D114">
        <v>-2.6327528147852958E-2</v>
      </c>
      <c r="E114">
        <v>5.3108044707943572E-3</v>
      </c>
      <c r="F114">
        <v>1.9667069513680122E-2</v>
      </c>
      <c r="G114">
        <v>-2.9028298070685561E-3</v>
      </c>
      <c r="H114">
        <v>-2.592261998183278E-3</v>
      </c>
      <c r="I114">
        <v>-2.3646863099937548E-2</v>
      </c>
      <c r="J114">
        <v>3.064409414368488E-3</v>
      </c>
      <c r="K114">
        <v>246</v>
      </c>
      <c r="M114">
        <f t="shared" si="3"/>
        <v>145.65950337555515</v>
      </c>
      <c r="N114">
        <f t="shared" si="4"/>
        <v>100.34049662444485</v>
      </c>
      <c r="O114">
        <f t="shared" si="5"/>
        <v>10068.215262840229</v>
      </c>
    </row>
    <row r="115" spans="1:15" x14ac:dyDescent="0.25">
      <c r="A115">
        <v>1.9913214178325919E-2</v>
      </c>
      <c r="B115">
        <v>5.0680118739818619E-2</v>
      </c>
      <c r="C115">
        <v>1.4272475267928089E-2</v>
      </c>
      <c r="D115">
        <v>6.3186597224227828E-2</v>
      </c>
      <c r="E115">
        <v>1.4942474478202201E-2</v>
      </c>
      <c r="F115">
        <v>2.0293366437259191E-2</v>
      </c>
      <c r="G115">
        <v>-4.7082483456111851E-2</v>
      </c>
      <c r="H115">
        <v>3.4308858877726729E-2</v>
      </c>
      <c r="I115">
        <v>4.6661779830702292E-2</v>
      </c>
      <c r="J115">
        <v>9.0048654625892066E-2</v>
      </c>
      <c r="K115">
        <v>297</v>
      </c>
      <c r="M115">
        <f t="shared" si="3"/>
        <v>205.15987893588866</v>
      </c>
      <c r="N115">
        <f t="shared" si="4"/>
        <v>91.840121064111344</v>
      </c>
      <c r="O115">
        <f t="shared" si="5"/>
        <v>8434.6078370706273</v>
      </c>
    </row>
    <row r="116" spans="1:15" x14ac:dyDescent="0.25">
      <c r="A116">
        <v>2.3545752629345339E-2</v>
      </c>
      <c r="B116">
        <v>-4.4641636506989137E-2</v>
      </c>
      <c r="C116">
        <v>0.1101977498433193</v>
      </c>
      <c r="D116">
        <v>6.3186597224227828E-2</v>
      </c>
      <c r="E116">
        <v>1.356652162000108E-2</v>
      </c>
      <c r="F116">
        <v>-3.2941872066961732E-2</v>
      </c>
      <c r="G116">
        <v>-2.4992656631590209E-2</v>
      </c>
      <c r="H116">
        <v>2.0655444153640019E-2</v>
      </c>
      <c r="I116">
        <v>9.9240575684965332E-2</v>
      </c>
      <c r="J116">
        <v>2.377494398854077E-2</v>
      </c>
      <c r="K116">
        <v>258</v>
      </c>
      <c r="M116">
        <f t="shared" si="3"/>
        <v>284.3827958448453</v>
      </c>
      <c r="N116">
        <f t="shared" si="4"/>
        <v>-26.382795844845305</v>
      </c>
      <c r="O116">
        <f t="shared" si="5"/>
        <v>696.05191659078662</v>
      </c>
    </row>
    <row r="117" spans="1:15" x14ac:dyDescent="0.25">
      <c r="A117">
        <v>-3.094232413594597E-2</v>
      </c>
      <c r="B117">
        <v>5.0680118739818619E-2</v>
      </c>
      <c r="C117">
        <v>1.338730381358506E-3</v>
      </c>
      <c r="D117">
        <v>-5.67042229275739E-3</v>
      </c>
      <c r="E117">
        <v>6.4476777373442554E-2</v>
      </c>
      <c r="F117">
        <v>4.9416173383685931E-2</v>
      </c>
      <c r="G117">
        <v>-4.7082483456111851E-2</v>
      </c>
      <c r="H117">
        <v>0.10811110062954681</v>
      </c>
      <c r="I117">
        <v>8.3798744863689031E-2</v>
      </c>
      <c r="J117">
        <v>3.064409414368488E-3</v>
      </c>
      <c r="K117">
        <v>229</v>
      </c>
      <c r="M117">
        <f t="shared" si="3"/>
        <v>200.53177561110209</v>
      </c>
      <c r="N117">
        <f t="shared" si="4"/>
        <v>28.468224388897909</v>
      </c>
      <c r="O117">
        <f t="shared" si="5"/>
        <v>810.43979985664168</v>
      </c>
    </row>
    <row r="118" spans="1:15" x14ac:dyDescent="0.25">
      <c r="A118">
        <v>4.8973521786481282E-2</v>
      </c>
      <c r="B118">
        <v>5.0680118739818619E-2</v>
      </c>
      <c r="C118">
        <v>5.8462770297040889E-2</v>
      </c>
      <c r="D118">
        <v>7.0072299175926361E-2</v>
      </c>
      <c r="E118">
        <v>1.356652162000108E-2</v>
      </c>
      <c r="F118">
        <v>2.060651489904871E-2</v>
      </c>
      <c r="G118">
        <v>-2.1311018827503261E-2</v>
      </c>
      <c r="H118">
        <v>3.4308858877726729E-2</v>
      </c>
      <c r="I118">
        <v>2.2004074770754039E-2</v>
      </c>
      <c r="J118">
        <v>2.7917050903375221E-2</v>
      </c>
      <c r="K118">
        <v>275</v>
      </c>
      <c r="M118">
        <f t="shared" si="3"/>
        <v>218.57785956158631</v>
      </c>
      <c r="N118">
        <f t="shared" si="4"/>
        <v>56.422140438413692</v>
      </c>
      <c r="O118">
        <f t="shared" si="5"/>
        <v>3183.4579316520776</v>
      </c>
    </row>
    <row r="119" spans="1:15" x14ac:dyDescent="0.25">
      <c r="A119">
        <v>5.9871137139539538E-2</v>
      </c>
      <c r="B119">
        <v>-4.4641636506989137E-2</v>
      </c>
      <c r="C119">
        <v>-2.1295323170138301E-2</v>
      </c>
      <c r="D119">
        <v>8.7286554055172674E-2</v>
      </c>
      <c r="E119">
        <v>4.5213437358626873E-2</v>
      </c>
      <c r="F119">
        <v>3.1566711061682427E-2</v>
      </c>
      <c r="G119">
        <v>-4.7082483456111851E-2</v>
      </c>
      <c r="H119">
        <v>7.1209979753636743E-2</v>
      </c>
      <c r="I119">
        <v>7.9122440724778378E-2</v>
      </c>
      <c r="J119">
        <v>0.13561183068907109</v>
      </c>
      <c r="K119">
        <v>281</v>
      </c>
      <c r="M119">
        <f t="shared" si="3"/>
        <v>210.64053646908036</v>
      </c>
      <c r="N119">
        <f t="shared" si="4"/>
        <v>70.359463530919641</v>
      </c>
      <c r="O119">
        <f t="shared" si="5"/>
        <v>4950.454108358811</v>
      </c>
    </row>
    <row r="120" spans="1:15" x14ac:dyDescent="0.25">
      <c r="A120">
        <v>-5.6370093293081923E-2</v>
      </c>
      <c r="B120">
        <v>5.0680118739818619E-2</v>
      </c>
      <c r="C120">
        <v>-1.0517202431330299E-2</v>
      </c>
      <c r="D120">
        <v>2.531523648988596E-2</v>
      </c>
      <c r="E120">
        <v>2.319819162740893E-2</v>
      </c>
      <c r="F120">
        <v>4.0021719529999888E-2</v>
      </c>
      <c r="G120">
        <v>-3.9719207847937969E-2</v>
      </c>
      <c r="H120">
        <v>3.4308858877726729E-2</v>
      </c>
      <c r="I120">
        <v>2.060938757142981E-2</v>
      </c>
      <c r="J120">
        <v>5.6911799307216418E-2</v>
      </c>
      <c r="K120">
        <v>179</v>
      </c>
      <c r="M120">
        <f t="shared" si="3"/>
        <v>166.88901506178087</v>
      </c>
      <c r="N120">
        <f t="shared" si="4"/>
        <v>12.110984938219133</v>
      </c>
      <c r="O120">
        <f t="shared" si="5"/>
        <v>146.67595617377069</v>
      </c>
    </row>
    <row r="121" spans="1:15" x14ac:dyDescent="0.25">
      <c r="A121">
        <v>1.6280675727306501E-2</v>
      </c>
      <c r="B121">
        <v>-4.4641636506989137E-2</v>
      </c>
      <c r="C121">
        <v>-4.7162812943277482E-2</v>
      </c>
      <c r="D121">
        <v>-2.2275713169081289E-3</v>
      </c>
      <c r="E121">
        <v>-1.9456346976825821E-2</v>
      </c>
      <c r="F121">
        <v>-4.2962622844226861E-2</v>
      </c>
      <c r="G121">
        <v>3.3913548233800862E-2</v>
      </c>
      <c r="H121">
        <v>-3.9493382874093291E-2</v>
      </c>
      <c r="I121">
        <v>2.7364049105411979E-2</v>
      </c>
      <c r="J121">
        <v>2.7917050903375221E-2</v>
      </c>
      <c r="K121">
        <v>200</v>
      </c>
      <c r="M121">
        <f t="shared" si="3"/>
        <v>135.74354609745936</v>
      </c>
      <c r="N121">
        <f t="shared" si="4"/>
        <v>64.256453902540642</v>
      </c>
      <c r="O121">
        <f t="shared" si="5"/>
        <v>4128.8918681293308</v>
      </c>
    </row>
    <row r="122" spans="1:15" x14ac:dyDescent="0.25">
      <c r="A122">
        <v>-4.9105016391043067E-2</v>
      </c>
      <c r="B122">
        <v>-4.4641636506989137E-2</v>
      </c>
      <c r="C122">
        <v>4.5721666030009121E-3</v>
      </c>
      <c r="D122">
        <v>1.154383258648892E-2</v>
      </c>
      <c r="E122">
        <v>-3.7343734133440387E-2</v>
      </c>
      <c r="F122">
        <v>-1.8537042824643149E-2</v>
      </c>
      <c r="G122">
        <v>-1.762938102341632E-2</v>
      </c>
      <c r="H122">
        <v>-2.592261998183278E-3</v>
      </c>
      <c r="I122">
        <v>-3.9808826527400823E-2</v>
      </c>
      <c r="J122">
        <v>-2.1788232074638241E-2</v>
      </c>
      <c r="K122">
        <v>200</v>
      </c>
      <c r="M122">
        <f t="shared" si="3"/>
        <v>137.14563394187044</v>
      </c>
      <c r="N122">
        <f t="shared" si="4"/>
        <v>62.854366058129557</v>
      </c>
      <c r="O122">
        <f t="shared" si="5"/>
        <v>3950.671332569349</v>
      </c>
    </row>
    <row r="123" spans="1:15" x14ac:dyDescent="0.25">
      <c r="A123">
        <v>6.3503675590558972E-2</v>
      </c>
      <c r="B123">
        <v>-4.4641636506989137E-2</v>
      </c>
      <c r="C123">
        <v>1.7505911489570501E-2</v>
      </c>
      <c r="D123">
        <v>2.18723855140367E-2</v>
      </c>
      <c r="E123">
        <v>8.0627101871965992E-3</v>
      </c>
      <c r="F123">
        <v>2.1545960284417309E-2</v>
      </c>
      <c r="G123">
        <v>-3.6037570043851018E-2</v>
      </c>
      <c r="H123">
        <v>3.4308858877726729E-2</v>
      </c>
      <c r="I123">
        <v>1.9907486170462719E-2</v>
      </c>
      <c r="J123">
        <v>1.13486232440374E-2</v>
      </c>
      <c r="K123">
        <v>173</v>
      </c>
      <c r="M123">
        <f t="shared" si="3"/>
        <v>180.60524794211599</v>
      </c>
      <c r="N123">
        <f t="shared" si="4"/>
        <v>-7.6052479421159944</v>
      </c>
      <c r="O123">
        <f t="shared" si="5"/>
        <v>57.839796261059568</v>
      </c>
    </row>
    <row r="124" spans="1:15" x14ac:dyDescent="0.25">
      <c r="A124">
        <v>4.8973521786481282E-2</v>
      </c>
      <c r="B124">
        <v>5.0680118739818619E-2</v>
      </c>
      <c r="C124">
        <v>8.1096823848537655E-2</v>
      </c>
      <c r="D124">
        <v>2.18723855140367E-2</v>
      </c>
      <c r="E124">
        <v>4.3837484500425739E-2</v>
      </c>
      <c r="F124">
        <v>6.4134151087794078E-2</v>
      </c>
      <c r="G124">
        <v>-5.4445759064285733E-2</v>
      </c>
      <c r="H124">
        <v>7.1209979753636743E-2</v>
      </c>
      <c r="I124">
        <v>3.2432324156551069E-2</v>
      </c>
      <c r="J124">
        <v>4.8627585477547502E-2</v>
      </c>
      <c r="K124">
        <v>180</v>
      </c>
      <c r="M124">
        <f t="shared" si="3"/>
        <v>227.74593760093961</v>
      </c>
      <c r="N124">
        <f t="shared" si="4"/>
        <v>-47.745937600939612</v>
      </c>
      <c r="O124">
        <f t="shared" si="5"/>
        <v>2279.6745573928192</v>
      </c>
    </row>
    <row r="125" spans="1:15" x14ac:dyDescent="0.25">
      <c r="A125">
        <v>5.3830603742482368E-3</v>
      </c>
      <c r="B125">
        <v>5.0680118739818619E-2</v>
      </c>
      <c r="C125">
        <v>3.4750904671663307E-2</v>
      </c>
      <c r="D125">
        <v>-1.091430494877878E-3</v>
      </c>
      <c r="E125">
        <v>0.15253776029831431</v>
      </c>
      <c r="F125">
        <v>0.19878798965729411</v>
      </c>
      <c r="G125">
        <v>-6.1809034672459622E-2</v>
      </c>
      <c r="H125">
        <v>0.18523444326019869</v>
      </c>
      <c r="I125">
        <v>1.5568459328120621E-2</v>
      </c>
      <c r="J125">
        <v>7.3480226966554235E-2</v>
      </c>
      <c r="K125">
        <v>84</v>
      </c>
      <c r="M125">
        <f t="shared" si="3"/>
        <v>194.87405727243294</v>
      </c>
      <c r="N125">
        <f t="shared" si="4"/>
        <v>-110.87405727243294</v>
      </c>
      <c r="O125">
        <f t="shared" si="5"/>
        <v>12293.056576050738</v>
      </c>
    </row>
    <row r="126" spans="1:15" x14ac:dyDescent="0.25">
      <c r="A126">
        <v>-5.5145549788100249E-3</v>
      </c>
      <c r="B126">
        <v>-4.4641636506989137E-2</v>
      </c>
      <c r="C126">
        <v>2.3972783932855311E-2</v>
      </c>
      <c r="D126">
        <v>8.1009816106396553E-3</v>
      </c>
      <c r="E126">
        <v>-3.4591828417038152E-2</v>
      </c>
      <c r="F126">
        <v>-3.8891692840962923E-2</v>
      </c>
      <c r="G126">
        <v>2.2868634821540029E-2</v>
      </c>
      <c r="H126">
        <v>-3.9493382874093291E-2</v>
      </c>
      <c r="I126">
        <v>-1.5998872510179039E-2</v>
      </c>
      <c r="J126">
        <v>-1.350401824496934E-2</v>
      </c>
      <c r="K126">
        <v>121</v>
      </c>
      <c r="M126">
        <f t="shared" si="3"/>
        <v>157.1902570912147</v>
      </c>
      <c r="N126">
        <f t="shared" si="4"/>
        <v>-36.190257091214704</v>
      </c>
      <c r="O126">
        <f t="shared" si="5"/>
        <v>1309.7347083282161</v>
      </c>
    </row>
    <row r="127" spans="1:15" x14ac:dyDescent="0.25">
      <c r="A127">
        <v>-5.5145549788100249E-3</v>
      </c>
      <c r="B127">
        <v>5.0680118739818619E-2</v>
      </c>
      <c r="C127">
        <v>-8.3615782835686752E-3</v>
      </c>
      <c r="D127">
        <v>-2.2275713169081289E-3</v>
      </c>
      <c r="E127">
        <v>-3.3215875558837017E-2</v>
      </c>
      <c r="F127">
        <v>-6.3630421322336164E-2</v>
      </c>
      <c r="G127">
        <v>-3.6037570043851018E-2</v>
      </c>
      <c r="H127">
        <v>-2.592261998183278E-3</v>
      </c>
      <c r="I127">
        <v>8.0590052744982293E-2</v>
      </c>
      <c r="J127">
        <v>7.206516329202944E-3</v>
      </c>
      <c r="K127">
        <v>161</v>
      </c>
      <c r="M127">
        <f t="shared" si="3"/>
        <v>186.74331638569367</v>
      </c>
      <c r="N127">
        <f t="shared" si="4"/>
        <v>-25.743316385693674</v>
      </c>
      <c r="O127">
        <f t="shared" si="5"/>
        <v>662.71833853392445</v>
      </c>
    </row>
    <row r="128" spans="1:15" x14ac:dyDescent="0.25">
      <c r="A128">
        <v>-8.9062939352256704E-2</v>
      </c>
      <c r="B128">
        <v>-4.4641636506989137E-2</v>
      </c>
      <c r="C128">
        <v>-6.1174369903727883E-2</v>
      </c>
      <c r="D128">
        <v>-2.6327528147852958E-2</v>
      </c>
      <c r="E128">
        <v>-5.523112129005496E-2</v>
      </c>
      <c r="F128">
        <v>-5.4549115930439672E-2</v>
      </c>
      <c r="G128">
        <v>4.1276823841974737E-2</v>
      </c>
      <c r="H128">
        <v>-7.6394503750003298E-2</v>
      </c>
      <c r="I128">
        <v>-9.3937274825357422E-2</v>
      </c>
      <c r="J128">
        <v>-5.4925087393313893E-2</v>
      </c>
      <c r="K128">
        <v>99</v>
      </c>
      <c r="M128">
        <f t="shared" si="3"/>
        <v>55.932881822814679</v>
      </c>
      <c r="N128">
        <f t="shared" si="4"/>
        <v>43.067118177185321</v>
      </c>
      <c r="O128">
        <f t="shared" si="5"/>
        <v>1854.7766680876464</v>
      </c>
    </row>
    <row r="129" spans="1:15" x14ac:dyDescent="0.25">
      <c r="A129">
        <v>3.4443367982403598E-2</v>
      </c>
      <c r="B129">
        <v>5.0680118739818619E-2</v>
      </c>
      <c r="C129">
        <v>-1.8947058402839011E-3</v>
      </c>
      <c r="D129">
        <v>-1.255612424445591E-2</v>
      </c>
      <c r="E129">
        <v>3.8333673067621261E-2</v>
      </c>
      <c r="F129">
        <v>1.371724873967896E-2</v>
      </c>
      <c r="G129">
        <v>7.809320188284416E-2</v>
      </c>
      <c r="H129">
        <v>-3.9493382874093291E-2</v>
      </c>
      <c r="I129">
        <v>4.5476957726761236E-3</v>
      </c>
      <c r="J129">
        <v>-9.6346156541658456E-2</v>
      </c>
      <c r="K129">
        <v>109</v>
      </c>
      <c r="M129">
        <f t="shared" si="3"/>
        <v>144.29011013878491</v>
      </c>
      <c r="N129">
        <f t="shared" si="4"/>
        <v>-35.290110138784911</v>
      </c>
      <c r="O129">
        <f t="shared" si="5"/>
        <v>1245.3918736075696</v>
      </c>
    </row>
    <row r="130" spans="1:15" x14ac:dyDescent="0.25">
      <c r="A130">
        <v>-5.2737554842062502E-2</v>
      </c>
      <c r="B130">
        <v>-4.4641636506989137E-2</v>
      </c>
      <c r="C130">
        <v>-6.2252181977608657E-2</v>
      </c>
      <c r="D130">
        <v>-2.6327528147852958E-2</v>
      </c>
      <c r="E130">
        <v>-5.6968183948146092E-3</v>
      </c>
      <c r="F130">
        <v>-5.0716589676931354E-3</v>
      </c>
      <c r="G130">
        <v>3.0231910429713921E-2</v>
      </c>
      <c r="H130">
        <v>-3.9493382874093291E-2</v>
      </c>
      <c r="I130">
        <v>-3.0747917533098211E-2</v>
      </c>
      <c r="J130">
        <v>-7.149351505265171E-2</v>
      </c>
      <c r="K130">
        <v>115</v>
      </c>
      <c r="M130">
        <f t="shared" si="3"/>
        <v>88.670521635145917</v>
      </c>
      <c r="N130">
        <f t="shared" si="4"/>
        <v>26.329478364854083</v>
      </c>
      <c r="O130">
        <f t="shared" si="5"/>
        <v>693.24143096531918</v>
      </c>
    </row>
    <row r="131" spans="1:15" x14ac:dyDescent="0.25">
      <c r="A131">
        <v>9.0155988252676577E-3</v>
      </c>
      <c r="B131">
        <v>-4.4641636506989137E-2</v>
      </c>
      <c r="C131">
        <v>1.6428099415689679E-2</v>
      </c>
      <c r="D131">
        <v>4.6581306347903946E-3</v>
      </c>
      <c r="E131">
        <v>9.4386630453977202E-3</v>
      </c>
      <c r="F131">
        <v>1.058576412178361E-2</v>
      </c>
      <c r="G131">
        <v>-2.867429443567714E-2</v>
      </c>
      <c r="H131">
        <v>3.4308858877726729E-2</v>
      </c>
      <c r="I131">
        <v>3.8968211227894081E-2</v>
      </c>
      <c r="J131">
        <v>0.11904340302973319</v>
      </c>
      <c r="K131">
        <v>268</v>
      </c>
      <c r="M131">
        <f t="shared" ref="M131:M194" si="6">$A$446 + SUMPRODUCT($B$446:$K$446, A131:J131)</f>
        <v>188.42863723115127</v>
      </c>
      <c r="N131">
        <f t="shared" ref="N131:N194" si="7">K131-M131</f>
        <v>79.571362768848729</v>
      </c>
      <c r="O131">
        <f t="shared" ref="O131:O194" si="8">N131^2</f>
        <v>6331.6017728917259</v>
      </c>
    </row>
    <row r="132" spans="1:15" x14ac:dyDescent="0.25">
      <c r="A132">
        <v>-6.3635170195120758E-2</v>
      </c>
      <c r="B132">
        <v>5.0680118739818619E-2</v>
      </c>
      <c r="C132">
        <v>9.6186192882868823E-2</v>
      </c>
      <c r="D132">
        <v>0.104500808934419</v>
      </c>
      <c r="E132">
        <v>-2.944912678412368E-3</v>
      </c>
      <c r="F132">
        <v>-4.7585105059035956E-3</v>
      </c>
      <c r="G132">
        <v>-6.584467611155497E-3</v>
      </c>
      <c r="H132">
        <v>-2.592261998183278E-3</v>
      </c>
      <c r="I132">
        <v>2.268774496650125E-2</v>
      </c>
      <c r="J132">
        <v>7.3480226966554235E-2</v>
      </c>
      <c r="K132">
        <v>274</v>
      </c>
      <c r="M132">
        <f t="shared" si="6"/>
        <v>248.81490597363467</v>
      </c>
      <c r="N132">
        <f t="shared" si="7"/>
        <v>25.185094026365334</v>
      </c>
      <c r="O132">
        <f t="shared" si="8"/>
        <v>634.28896111686288</v>
      </c>
    </row>
    <row r="133" spans="1:15" x14ac:dyDescent="0.25">
      <c r="A133">
        <v>-9.6328016254295545E-2</v>
      </c>
      <c r="B133">
        <v>-4.4641636506989137E-2</v>
      </c>
      <c r="C133">
        <v>-6.9796866494774276E-2</v>
      </c>
      <c r="D133">
        <v>-6.7641739858044087E-2</v>
      </c>
      <c r="E133">
        <v>-1.9456346976825821E-2</v>
      </c>
      <c r="F133">
        <v>-1.070833127990478E-2</v>
      </c>
      <c r="G133">
        <v>1.5505359213366149E-2</v>
      </c>
      <c r="H133">
        <v>-3.9493382874093291E-2</v>
      </c>
      <c r="I133">
        <v>-4.6882534152731581E-2</v>
      </c>
      <c r="J133">
        <v>-7.9777728882320625E-2</v>
      </c>
      <c r="K133">
        <v>158</v>
      </c>
      <c r="M133">
        <f t="shared" si="6"/>
        <v>65.322356889393618</v>
      </c>
      <c r="N133">
        <f t="shared" si="7"/>
        <v>92.677643110606382</v>
      </c>
      <c r="O133">
        <f t="shared" si="8"/>
        <v>8589.1455325369261</v>
      </c>
    </row>
    <row r="134" spans="1:15" x14ac:dyDescent="0.25">
      <c r="A134">
        <v>1.6280675727306501E-2</v>
      </c>
      <c r="B134">
        <v>5.0680118739818619E-2</v>
      </c>
      <c r="C134">
        <v>-2.1295323170138301E-2</v>
      </c>
      <c r="D134">
        <v>-9.1132732686066524E-3</v>
      </c>
      <c r="E134">
        <v>3.4205814493017898E-2</v>
      </c>
      <c r="F134">
        <v>4.7850431074738263E-2</v>
      </c>
      <c r="G134">
        <v>7.7880799701838534E-4</v>
      </c>
      <c r="H134">
        <v>-2.592261998183278E-3</v>
      </c>
      <c r="I134">
        <v>-1.290868322540187E-2</v>
      </c>
      <c r="J134">
        <v>2.377494398854077E-2</v>
      </c>
      <c r="K134">
        <v>107</v>
      </c>
      <c r="M134">
        <f t="shared" si="6"/>
        <v>131.48730103828473</v>
      </c>
      <c r="N134">
        <f t="shared" si="7"/>
        <v>-24.487301038284727</v>
      </c>
      <c r="O134">
        <f t="shared" si="8"/>
        <v>599.6279121395803</v>
      </c>
    </row>
    <row r="135" spans="1:15" x14ac:dyDescent="0.25">
      <c r="A135">
        <v>-4.1839939489004233E-2</v>
      </c>
      <c r="B135">
        <v>5.0680118739818619E-2</v>
      </c>
      <c r="C135">
        <v>-5.3629685386562292E-2</v>
      </c>
      <c r="D135">
        <v>-4.0098932051250001E-2</v>
      </c>
      <c r="E135">
        <v>-8.4126131312278501E-2</v>
      </c>
      <c r="F135">
        <v>-7.1772281328864082E-2</v>
      </c>
      <c r="G135">
        <v>-2.9028298070685561E-3</v>
      </c>
      <c r="H135">
        <v>-3.9493382874093291E-2</v>
      </c>
      <c r="I135">
        <v>-7.2132753382327428E-2</v>
      </c>
      <c r="J135">
        <v>-3.007244590430716E-2</v>
      </c>
      <c r="K135">
        <v>83</v>
      </c>
      <c r="M135">
        <f t="shared" si="6"/>
        <v>70.929850285001677</v>
      </c>
      <c r="N135">
        <f t="shared" si="7"/>
        <v>12.070149714998323</v>
      </c>
      <c r="O135">
        <f t="shared" si="8"/>
        <v>145.68851414247408</v>
      </c>
    </row>
    <row r="136" spans="1:15" x14ac:dyDescent="0.25">
      <c r="A136">
        <v>-7.4532785548179006E-2</v>
      </c>
      <c r="B136">
        <v>-4.4641636506989137E-2</v>
      </c>
      <c r="C136">
        <v>4.3373401262709672E-2</v>
      </c>
      <c r="D136">
        <v>-3.3213230099551481E-2</v>
      </c>
      <c r="E136">
        <v>1.2190568761799961E-2</v>
      </c>
      <c r="F136">
        <v>2.5186488272894427E-4</v>
      </c>
      <c r="G136">
        <v>6.3366650666496382E-2</v>
      </c>
      <c r="H136">
        <v>-3.9493382874093291E-2</v>
      </c>
      <c r="I136">
        <v>-2.712902329694316E-2</v>
      </c>
      <c r="J136">
        <v>-4.6640873563644977E-2</v>
      </c>
      <c r="K136">
        <v>103</v>
      </c>
      <c r="M136">
        <f t="shared" si="6"/>
        <v>151.30855995970188</v>
      </c>
      <c r="N136">
        <f t="shared" si="7"/>
        <v>-48.308559959701881</v>
      </c>
      <c r="O136">
        <f t="shared" si="8"/>
        <v>2333.716965380112</v>
      </c>
    </row>
    <row r="137" spans="1:15" x14ac:dyDescent="0.25">
      <c r="A137">
        <v>-5.5145549788100249E-3</v>
      </c>
      <c r="B137">
        <v>-4.4641636506989137E-2</v>
      </c>
      <c r="C137">
        <v>5.63071461492793E-2</v>
      </c>
      <c r="D137">
        <v>-3.6656081075400741E-2</v>
      </c>
      <c r="E137">
        <v>-4.8351356999049362E-2</v>
      </c>
      <c r="F137">
        <v>-4.2962622844226861E-2</v>
      </c>
      <c r="G137">
        <v>-7.2853948084720441E-2</v>
      </c>
      <c r="H137">
        <v>3.7998970965317722E-2</v>
      </c>
      <c r="I137">
        <v>5.0782032210405323E-2</v>
      </c>
      <c r="J137">
        <v>5.6911799307216418E-2</v>
      </c>
      <c r="K137">
        <v>272</v>
      </c>
      <c r="M137">
        <f t="shared" si="6"/>
        <v>205.25738362069973</v>
      </c>
      <c r="N137">
        <f t="shared" si="7"/>
        <v>66.742616379300273</v>
      </c>
      <c r="O137">
        <f t="shared" si="8"/>
        <v>4454.5768411544414</v>
      </c>
    </row>
    <row r="138" spans="1:15" x14ac:dyDescent="0.25">
      <c r="A138">
        <v>-9.2695477803276125E-2</v>
      </c>
      <c r="B138">
        <v>-4.4641636506989137E-2</v>
      </c>
      <c r="C138">
        <v>-8.1652799307463053E-2</v>
      </c>
      <c r="D138">
        <v>-5.7313186930496307E-2</v>
      </c>
      <c r="E138">
        <v>-6.0734932722859437E-2</v>
      </c>
      <c r="F138">
        <v>-6.8014499787389646E-2</v>
      </c>
      <c r="G138">
        <v>4.8640099450148619E-2</v>
      </c>
      <c r="H138">
        <v>-7.6394503750003298E-2</v>
      </c>
      <c r="I138">
        <v>-6.6490195366760707E-2</v>
      </c>
      <c r="J138">
        <v>-2.1788232074638241E-2</v>
      </c>
      <c r="K138">
        <v>85</v>
      </c>
      <c r="M138">
        <f t="shared" si="6"/>
        <v>50.641358645768321</v>
      </c>
      <c r="N138">
        <f t="shared" si="7"/>
        <v>34.358641354231679</v>
      </c>
      <c r="O138">
        <f t="shared" si="8"/>
        <v>1180.5162357087193</v>
      </c>
    </row>
    <row r="139" spans="1:15" x14ac:dyDescent="0.25">
      <c r="A139">
        <v>5.3830603742482368E-3</v>
      </c>
      <c r="B139">
        <v>-4.4641636506989137E-2</v>
      </c>
      <c r="C139">
        <v>4.9840273705994483E-2</v>
      </c>
      <c r="D139">
        <v>9.7615106982720454E-2</v>
      </c>
      <c r="E139">
        <v>-1.5328488402222449E-2</v>
      </c>
      <c r="F139">
        <v>-1.6345003592116401E-2</v>
      </c>
      <c r="G139">
        <v>-6.584467611155497E-3</v>
      </c>
      <c r="H139">
        <v>-2.592261998183278E-3</v>
      </c>
      <c r="I139">
        <v>1.703607134832455E-2</v>
      </c>
      <c r="J139">
        <v>-1.350401824496934E-2</v>
      </c>
      <c r="K139">
        <v>280</v>
      </c>
      <c r="M139">
        <f t="shared" si="6"/>
        <v>214.3364341247929</v>
      </c>
      <c r="N139">
        <f t="shared" si="7"/>
        <v>65.663565875207098</v>
      </c>
      <c r="O139">
        <f t="shared" si="8"/>
        <v>4311.7038834476625</v>
      </c>
    </row>
    <row r="140" spans="1:15" x14ac:dyDescent="0.25">
      <c r="A140">
        <v>3.4443367982403598E-2</v>
      </c>
      <c r="B140">
        <v>5.0680118739818619E-2</v>
      </c>
      <c r="C140">
        <v>0.1112755619172001</v>
      </c>
      <c r="D140">
        <v>7.6958001127624881E-2</v>
      </c>
      <c r="E140">
        <v>-3.1839922700635903E-2</v>
      </c>
      <c r="F140">
        <v>-3.3881317452330348E-2</v>
      </c>
      <c r="G140">
        <v>-2.1311018827503261E-2</v>
      </c>
      <c r="H140">
        <v>-2.592261998183278E-3</v>
      </c>
      <c r="I140">
        <v>2.8020372493329278E-2</v>
      </c>
      <c r="J140">
        <v>7.3480226966554235E-2</v>
      </c>
      <c r="K140">
        <v>336</v>
      </c>
      <c r="M140">
        <f t="shared" si="6"/>
        <v>253.19228608924311</v>
      </c>
      <c r="N140">
        <f t="shared" si="7"/>
        <v>82.807713910756888</v>
      </c>
      <c r="O140">
        <f t="shared" si="8"/>
        <v>6857.1174831257595</v>
      </c>
    </row>
    <row r="141" spans="1:15" x14ac:dyDescent="0.25">
      <c r="A141">
        <v>2.3545752629345339E-2</v>
      </c>
      <c r="B141">
        <v>-4.4641636506989137E-2</v>
      </c>
      <c r="C141">
        <v>6.1696206518683287E-2</v>
      </c>
      <c r="D141">
        <v>5.2858044296680062E-2</v>
      </c>
      <c r="E141">
        <v>-3.4591828417038152E-2</v>
      </c>
      <c r="F141">
        <v>-4.8912443618228017E-2</v>
      </c>
      <c r="G141">
        <v>-2.867429443567714E-2</v>
      </c>
      <c r="H141">
        <v>-2.592261998183278E-3</v>
      </c>
      <c r="I141">
        <v>5.4719972537909042E-2</v>
      </c>
      <c r="J141">
        <v>-5.2198044153004232E-3</v>
      </c>
      <c r="K141">
        <v>281</v>
      </c>
      <c r="M141">
        <f t="shared" si="6"/>
        <v>228.71276792641629</v>
      </c>
      <c r="N141">
        <f t="shared" si="7"/>
        <v>52.287232073583709</v>
      </c>
      <c r="O141">
        <f t="shared" si="8"/>
        <v>2733.9546379168009</v>
      </c>
    </row>
    <row r="142" spans="1:15" x14ac:dyDescent="0.25">
      <c r="A142">
        <v>4.170844488444244E-2</v>
      </c>
      <c r="B142">
        <v>5.0680118739818619E-2</v>
      </c>
      <c r="C142">
        <v>1.4272475267928089E-2</v>
      </c>
      <c r="D142">
        <v>4.2529491369132269E-2</v>
      </c>
      <c r="E142">
        <v>-3.0463969842434779E-2</v>
      </c>
      <c r="F142">
        <v>-1.31387742621873E-3</v>
      </c>
      <c r="G142">
        <v>-4.3400845652024907E-2</v>
      </c>
      <c r="H142">
        <v>-2.592261998183278E-3</v>
      </c>
      <c r="I142">
        <v>-3.3245592648227913E-2</v>
      </c>
      <c r="J142">
        <v>1.549073015887186E-2</v>
      </c>
      <c r="K142">
        <v>118</v>
      </c>
      <c r="M142">
        <f t="shared" si="6"/>
        <v>155.2607841083217</v>
      </c>
      <c r="N142">
        <f t="shared" si="7"/>
        <v>-37.260784108321701</v>
      </c>
      <c r="O142">
        <f t="shared" si="8"/>
        <v>1388.366032366959</v>
      </c>
    </row>
    <row r="143" spans="1:15" x14ac:dyDescent="0.25">
      <c r="A143">
        <v>-2.7309785684926549E-2</v>
      </c>
      <c r="B143">
        <v>-4.4641636506989137E-2</v>
      </c>
      <c r="C143">
        <v>4.7684649558232893E-2</v>
      </c>
      <c r="D143">
        <v>-4.6984634002948528E-2</v>
      </c>
      <c r="E143">
        <v>3.4205814493017898E-2</v>
      </c>
      <c r="F143">
        <v>5.7244884928424312E-2</v>
      </c>
      <c r="G143">
        <v>-8.0217223692894316E-2</v>
      </c>
      <c r="H143">
        <v>0.13025177315509279</v>
      </c>
      <c r="I143">
        <v>4.5066549373958868E-2</v>
      </c>
      <c r="J143">
        <v>0.1314697237742366</v>
      </c>
      <c r="K143">
        <v>317</v>
      </c>
      <c r="M143">
        <f t="shared" si="6"/>
        <v>203.36124533855153</v>
      </c>
      <c r="N143">
        <f t="shared" si="7"/>
        <v>113.63875466144847</v>
      </c>
      <c r="O143">
        <f t="shared" si="8"/>
        <v>12913.766561004877</v>
      </c>
    </row>
    <row r="144" spans="1:15" x14ac:dyDescent="0.25">
      <c r="A144">
        <v>4.170844488444244E-2</v>
      </c>
      <c r="B144">
        <v>5.0680118739818619E-2</v>
      </c>
      <c r="C144">
        <v>1.21168511201665E-2</v>
      </c>
      <c r="D144">
        <v>3.9086640393283009E-2</v>
      </c>
      <c r="E144">
        <v>5.4845107366034707E-2</v>
      </c>
      <c r="F144">
        <v>4.4405797995053391E-2</v>
      </c>
      <c r="G144">
        <v>4.4604458011053274E-3</v>
      </c>
      <c r="H144">
        <v>-2.592261998183278E-3</v>
      </c>
      <c r="I144">
        <v>4.5604369927946697E-2</v>
      </c>
      <c r="J144">
        <v>-1.0776975004659669E-3</v>
      </c>
      <c r="K144">
        <v>235</v>
      </c>
      <c r="M144">
        <f t="shared" si="6"/>
        <v>191.74537132291164</v>
      </c>
      <c r="N144">
        <f t="shared" si="7"/>
        <v>43.254628677088363</v>
      </c>
      <c r="O144">
        <f t="shared" si="8"/>
        <v>1870.962901992795</v>
      </c>
    </row>
    <row r="145" spans="1:15" x14ac:dyDescent="0.25">
      <c r="A145">
        <v>-3.094232413594597E-2</v>
      </c>
      <c r="B145">
        <v>-4.4641636506989137E-2</v>
      </c>
      <c r="C145">
        <v>5.6499786768816887E-3</v>
      </c>
      <c r="D145">
        <v>-9.1132732686066524E-3</v>
      </c>
      <c r="E145">
        <v>1.9070333052805571E-2</v>
      </c>
      <c r="F145">
        <v>6.8279825803091816E-3</v>
      </c>
      <c r="G145">
        <v>7.4411564078757209E-2</v>
      </c>
      <c r="H145">
        <v>-3.9493382874093291E-2</v>
      </c>
      <c r="I145">
        <v>-4.1176166918895148E-2</v>
      </c>
      <c r="J145">
        <v>-4.2498766648810533E-2</v>
      </c>
      <c r="K145">
        <v>60</v>
      </c>
      <c r="M145">
        <f t="shared" si="6"/>
        <v>128.59858688574269</v>
      </c>
      <c r="N145">
        <f t="shared" si="7"/>
        <v>-68.598586885742691</v>
      </c>
      <c r="O145">
        <f t="shared" si="8"/>
        <v>4705.7661227207891</v>
      </c>
    </row>
    <row r="146" spans="1:15" x14ac:dyDescent="0.25">
      <c r="A146">
        <v>3.0810829531384181E-2</v>
      </c>
      <c r="B146">
        <v>5.0680118739818619E-2</v>
      </c>
      <c r="C146">
        <v>4.6606837484352077E-2</v>
      </c>
      <c r="D146">
        <v>-1.5998975220305179E-2</v>
      </c>
      <c r="E146">
        <v>2.0446285911006681E-2</v>
      </c>
      <c r="F146">
        <v>5.066876723084409E-2</v>
      </c>
      <c r="G146">
        <v>-5.8127396868372677E-2</v>
      </c>
      <c r="H146">
        <v>7.1209979753636743E-2</v>
      </c>
      <c r="I146">
        <v>6.2067354476892968E-3</v>
      </c>
      <c r="J146">
        <v>7.206516329202944E-3</v>
      </c>
      <c r="K146">
        <v>174</v>
      </c>
      <c r="M146">
        <f t="shared" si="6"/>
        <v>183.44756060180319</v>
      </c>
      <c r="N146">
        <f t="shared" si="7"/>
        <v>-9.4475606018031897</v>
      </c>
      <c r="O146">
        <f t="shared" si="8"/>
        <v>89.256401324743848</v>
      </c>
    </row>
    <row r="147" spans="1:15" x14ac:dyDescent="0.25">
      <c r="A147">
        <v>-4.1839939489004233E-2</v>
      </c>
      <c r="B147">
        <v>-4.4641636506989137E-2</v>
      </c>
      <c r="C147">
        <v>0.1285205550992928</v>
      </c>
      <c r="D147">
        <v>6.3186597224227828E-2</v>
      </c>
      <c r="E147">
        <v>-3.3215875558837017E-2</v>
      </c>
      <c r="F147">
        <v>-3.2628723605172223E-2</v>
      </c>
      <c r="G147">
        <v>1.182372140927921E-2</v>
      </c>
      <c r="H147">
        <v>-3.9493382874093291E-2</v>
      </c>
      <c r="I147">
        <v>-1.5998872510179039E-2</v>
      </c>
      <c r="J147">
        <v>-5.0782980478479442E-2</v>
      </c>
      <c r="K147">
        <v>259</v>
      </c>
      <c r="M147">
        <f t="shared" si="6"/>
        <v>231.40537970863579</v>
      </c>
      <c r="N147">
        <f t="shared" si="7"/>
        <v>27.594620291364208</v>
      </c>
      <c r="O147">
        <f t="shared" si="8"/>
        <v>761.46306902456934</v>
      </c>
    </row>
    <row r="148" spans="1:15" x14ac:dyDescent="0.25">
      <c r="A148">
        <v>-3.094232413594597E-2</v>
      </c>
      <c r="B148">
        <v>5.0680118739818619E-2</v>
      </c>
      <c r="C148">
        <v>5.954058237092167E-2</v>
      </c>
      <c r="D148">
        <v>1.2152796589411331E-3</v>
      </c>
      <c r="E148">
        <v>1.2190568761799961E-2</v>
      </c>
      <c r="F148">
        <v>3.1566711061682427E-2</v>
      </c>
      <c r="G148">
        <v>-4.3400845652024907E-2</v>
      </c>
      <c r="H148">
        <v>3.4308858877726729E-2</v>
      </c>
      <c r="I148">
        <v>1.4820979914103669E-2</v>
      </c>
      <c r="J148">
        <v>7.206516329202944E-3</v>
      </c>
      <c r="K148">
        <v>178</v>
      </c>
      <c r="M148">
        <f t="shared" si="6"/>
        <v>197.22374293878408</v>
      </c>
      <c r="N148">
        <f t="shared" si="7"/>
        <v>-19.223742938784085</v>
      </c>
      <c r="O148">
        <f t="shared" si="8"/>
        <v>369.55229257645095</v>
      </c>
    </row>
    <row r="149" spans="1:15" x14ac:dyDescent="0.25">
      <c r="A149">
        <v>-5.6370093293081923E-2</v>
      </c>
      <c r="B149">
        <v>-4.4641636506989137E-2</v>
      </c>
      <c r="C149">
        <v>9.295275666122646E-2</v>
      </c>
      <c r="D149">
        <v>-1.9441826196154439E-2</v>
      </c>
      <c r="E149">
        <v>1.4942474478202201E-2</v>
      </c>
      <c r="F149">
        <v>2.3424851055154541E-2</v>
      </c>
      <c r="G149">
        <v>-2.867429443567714E-2</v>
      </c>
      <c r="H149">
        <v>2.545258986750832E-2</v>
      </c>
      <c r="I149">
        <v>2.6060517932187319E-2</v>
      </c>
      <c r="J149">
        <v>4.0343371647878587E-2</v>
      </c>
      <c r="K149">
        <v>128</v>
      </c>
      <c r="M149">
        <f t="shared" si="6"/>
        <v>217.48711408387948</v>
      </c>
      <c r="N149">
        <f t="shared" si="7"/>
        <v>-89.487114083879476</v>
      </c>
      <c r="O149">
        <f t="shared" si="8"/>
        <v>8007.9435870612606</v>
      </c>
    </row>
    <row r="150" spans="1:15" x14ac:dyDescent="0.25">
      <c r="A150">
        <v>-6.0002631744101337E-2</v>
      </c>
      <c r="B150">
        <v>5.0680118739818619E-2</v>
      </c>
      <c r="C150">
        <v>1.535028734180891E-2</v>
      </c>
      <c r="D150">
        <v>-1.9441826196154439E-2</v>
      </c>
      <c r="E150">
        <v>3.695772020942014E-2</v>
      </c>
      <c r="F150">
        <v>4.8163579536527779E-2</v>
      </c>
      <c r="G150">
        <v>1.9186997017453088E-2</v>
      </c>
      <c r="H150">
        <v>-2.592261998183278E-3</v>
      </c>
      <c r="I150">
        <v>-3.0747917533098211E-2</v>
      </c>
      <c r="J150">
        <v>-1.0776975004659669E-3</v>
      </c>
      <c r="K150">
        <v>96</v>
      </c>
      <c r="M150">
        <f t="shared" si="6"/>
        <v>140.6223569905994</v>
      </c>
      <c r="N150">
        <f t="shared" si="7"/>
        <v>-44.6223569905994</v>
      </c>
      <c r="O150">
        <f t="shared" si="8"/>
        <v>1991.1547433964952</v>
      </c>
    </row>
    <row r="151" spans="1:15" x14ac:dyDescent="0.25">
      <c r="A151">
        <v>-4.9105016391043067E-2</v>
      </c>
      <c r="B151">
        <v>5.0680118739818619E-2</v>
      </c>
      <c r="C151">
        <v>-5.1281420619263074E-3</v>
      </c>
      <c r="D151">
        <v>-4.6984634002948528E-2</v>
      </c>
      <c r="E151">
        <v>-2.0832299835026939E-2</v>
      </c>
      <c r="F151">
        <v>-2.0415933595380339E-2</v>
      </c>
      <c r="G151">
        <v>-6.9172310280633503E-2</v>
      </c>
      <c r="H151">
        <v>7.1209979753636743E-2</v>
      </c>
      <c r="I151">
        <v>6.1237628404032171E-2</v>
      </c>
      <c r="J151">
        <v>-3.8356659733976069E-2</v>
      </c>
      <c r="K151">
        <v>126</v>
      </c>
      <c r="M151">
        <f t="shared" si="6"/>
        <v>171.05595587040196</v>
      </c>
      <c r="N151">
        <f t="shared" si="7"/>
        <v>-45.055955870401959</v>
      </c>
      <c r="O151">
        <f t="shared" si="8"/>
        <v>2030.0391593956087</v>
      </c>
    </row>
    <row r="152" spans="1:15" x14ac:dyDescent="0.25">
      <c r="A152">
        <v>2.3545752629345339E-2</v>
      </c>
      <c r="B152">
        <v>-4.4641636506989137E-2</v>
      </c>
      <c r="C152">
        <v>7.0318703109729652E-2</v>
      </c>
      <c r="D152">
        <v>2.531523648988596E-2</v>
      </c>
      <c r="E152">
        <v>-3.4591828417038152E-2</v>
      </c>
      <c r="F152">
        <v>-1.446611282137918E-2</v>
      </c>
      <c r="G152">
        <v>-3.2355932239764087E-2</v>
      </c>
      <c r="H152">
        <v>-2.592261998183278E-3</v>
      </c>
      <c r="I152">
        <v>-1.9198449026275911E-2</v>
      </c>
      <c r="J152">
        <v>-9.3619113301348783E-3</v>
      </c>
      <c r="K152">
        <v>288</v>
      </c>
      <c r="M152">
        <f t="shared" si="6"/>
        <v>189.8123752267914</v>
      </c>
      <c r="N152">
        <f t="shared" si="7"/>
        <v>98.187624773208597</v>
      </c>
      <c r="O152">
        <f t="shared" si="8"/>
        <v>9640.8096586044066</v>
      </c>
    </row>
    <row r="153" spans="1:15" x14ac:dyDescent="0.25">
      <c r="A153">
        <v>1.750521923228816E-3</v>
      </c>
      <c r="B153">
        <v>-4.4641636506989137E-2</v>
      </c>
      <c r="C153">
        <v>-4.0503299880454919E-3</v>
      </c>
      <c r="D153">
        <v>-5.67042229275739E-3</v>
      </c>
      <c r="E153">
        <v>-8.4487241112168512E-3</v>
      </c>
      <c r="F153">
        <v>-2.3860566675065229E-2</v>
      </c>
      <c r="G153">
        <v>5.2321737254235563E-2</v>
      </c>
      <c r="H153">
        <v>-3.9493382874093291E-2</v>
      </c>
      <c r="I153">
        <v>-8.9433960900681692E-3</v>
      </c>
      <c r="J153">
        <v>-1.350401824496934E-2</v>
      </c>
      <c r="K153">
        <v>88</v>
      </c>
      <c r="M153">
        <f t="shared" si="6"/>
        <v>140.74002722956101</v>
      </c>
      <c r="N153">
        <f t="shared" si="7"/>
        <v>-52.740027229561008</v>
      </c>
      <c r="O153">
        <f t="shared" si="8"/>
        <v>2781.5104721748367</v>
      </c>
    </row>
    <row r="154" spans="1:15" x14ac:dyDescent="0.25">
      <c r="A154">
        <v>-3.4574862586965391E-2</v>
      </c>
      <c r="B154">
        <v>5.0680118739818619E-2</v>
      </c>
      <c r="C154">
        <v>-8.1689376640308559E-4</v>
      </c>
      <c r="D154">
        <v>7.0072299175926361E-2</v>
      </c>
      <c r="E154">
        <v>3.9709625925822382E-2</v>
      </c>
      <c r="F154">
        <v>6.6952487243899877E-2</v>
      </c>
      <c r="G154">
        <v>-6.5490672476546552E-2</v>
      </c>
      <c r="H154">
        <v>0.10811110062954681</v>
      </c>
      <c r="I154">
        <v>2.6716841320104621E-2</v>
      </c>
      <c r="J154">
        <v>7.3480226966554235E-2</v>
      </c>
      <c r="K154">
        <v>292</v>
      </c>
      <c r="M154">
        <f t="shared" si="6"/>
        <v>192.69486787403335</v>
      </c>
      <c r="N154">
        <f t="shared" si="7"/>
        <v>99.305132125966651</v>
      </c>
      <c r="O154">
        <f t="shared" si="8"/>
        <v>9861.5092665556931</v>
      </c>
    </row>
    <row r="155" spans="1:15" x14ac:dyDescent="0.25">
      <c r="A155">
        <v>4.170844488444244E-2</v>
      </c>
      <c r="B155">
        <v>5.0680118739818619E-2</v>
      </c>
      <c r="C155">
        <v>-4.392937672163507E-2</v>
      </c>
      <c r="D155">
        <v>6.3186597224227828E-2</v>
      </c>
      <c r="E155">
        <v>-4.320865536613489E-3</v>
      </c>
      <c r="F155">
        <v>1.6222436433995228E-2</v>
      </c>
      <c r="G155">
        <v>-1.394774321932938E-2</v>
      </c>
      <c r="H155">
        <v>-2.592261998183278E-3</v>
      </c>
      <c r="I155">
        <v>-3.4521777013622662E-2</v>
      </c>
      <c r="J155">
        <v>1.13486232440374E-2</v>
      </c>
      <c r="K155">
        <v>71</v>
      </c>
      <c r="M155">
        <f t="shared" si="6"/>
        <v>125.75546767520952</v>
      </c>
      <c r="N155">
        <f t="shared" si="7"/>
        <v>-54.755467675209516</v>
      </c>
      <c r="O155">
        <f t="shared" si="8"/>
        <v>2998.1612403309141</v>
      </c>
    </row>
    <row r="156" spans="1:15" x14ac:dyDescent="0.25">
      <c r="A156">
        <v>6.7136214041578379E-2</v>
      </c>
      <c r="B156">
        <v>5.0680118739818619E-2</v>
      </c>
      <c r="C156">
        <v>2.073934771121291E-2</v>
      </c>
      <c r="D156">
        <v>-5.67042229275739E-3</v>
      </c>
      <c r="E156">
        <v>2.0446285911006681E-2</v>
      </c>
      <c r="F156">
        <v>2.624318721126033E-2</v>
      </c>
      <c r="G156">
        <v>-2.9028298070685561E-3</v>
      </c>
      <c r="H156">
        <v>-2.592261998183278E-3</v>
      </c>
      <c r="I156">
        <v>8.6406013445492463E-3</v>
      </c>
      <c r="J156">
        <v>3.064409414368488E-3</v>
      </c>
      <c r="K156">
        <v>197</v>
      </c>
      <c r="M156">
        <f t="shared" si="6"/>
        <v>167.0228616414316</v>
      </c>
      <c r="N156">
        <f t="shared" si="7"/>
        <v>29.977138358568396</v>
      </c>
      <c r="O156">
        <f t="shared" si="8"/>
        <v>898.62882416875277</v>
      </c>
    </row>
    <row r="157" spans="1:15" x14ac:dyDescent="0.25">
      <c r="A157">
        <v>-2.7309785684926549E-2</v>
      </c>
      <c r="B157">
        <v>5.0680118739818619E-2</v>
      </c>
      <c r="C157">
        <v>6.0618394444802479E-2</v>
      </c>
      <c r="D157">
        <v>4.9415193320830803E-2</v>
      </c>
      <c r="E157">
        <v>8.5116070246459369E-2</v>
      </c>
      <c r="F157">
        <v>8.6367691874851035E-2</v>
      </c>
      <c r="G157">
        <v>-2.9028298070685561E-3</v>
      </c>
      <c r="H157">
        <v>3.4308858877726729E-2</v>
      </c>
      <c r="I157">
        <v>3.7810529696428813E-2</v>
      </c>
      <c r="J157">
        <v>4.8627585477547502E-2</v>
      </c>
      <c r="K157">
        <v>186</v>
      </c>
      <c r="M157">
        <f t="shared" si="6"/>
        <v>223.02158129276373</v>
      </c>
      <c r="N157">
        <f t="shared" si="7"/>
        <v>-37.021581292763727</v>
      </c>
      <c r="O157">
        <f t="shared" si="8"/>
        <v>1370.5974814167132</v>
      </c>
    </row>
    <row r="158" spans="1:15" x14ac:dyDescent="0.25">
      <c r="A158">
        <v>-1.641217033186829E-2</v>
      </c>
      <c r="B158">
        <v>-4.4641636506989137E-2</v>
      </c>
      <c r="C158">
        <v>-1.0517202431330299E-2</v>
      </c>
      <c r="D158">
        <v>1.2152796589411331E-3</v>
      </c>
      <c r="E158">
        <v>-3.7343734133440387E-2</v>
      </c>
      <c r="F158">
        <v>-3.5760208223067573E-2</v>
      </c>
      <c r="G158">
        <v>1.182372140927921E-2</v>
      </c>
      <c r="H158">
        <v>-3.9493382874093291E-2</v>
      </c>
      <c r="I158">
        <v>-2.1395309255276829E-2</v>
      </c>
      <c r="J158">
        <v>-3.4214552819141618E-2</v>
      </c>
      <c r="K158">
        <v>25</v>
      </c>
      <c r="M158">
        <f t="shared" si="6"/>
        <v>131.88719814096532</v>
      </c>
      <c r="N158">
        <f t="shared" si="7"/>
        <v>-106.88719814096532</v>
      </c>
      <c r="O158">
        <f t="shared" si="8"/>
        <v>11424.87312642598</v>
      </c>
    </row>
    <row r="159" spans="1:15" x14ac:dyDescent="0.25">
      <c r="A159">
        <v>-1.8820165277906051E-3</v>
      </c>
      <c r="B159">
        <v>5.0680118739818619E-2</v>
      </c>
      <c r="C159">
        <v>-3.3151255982827067E-2</v>
      </c>
      <c r="D159">
        <v>-1.8305685374124189E-2</v>
      </c>
      <c r="E159">
        <v>3.1453908776615649E-2</v>
      </c>
      <c r="F159">
        <v>4.2840055686105723E-2</v>
      </c>
      <c r="G159">
        <v>-1.394774321932938E-2</v>
      </c>
      <c r="H159">
        <v>1.9917421736121842E-2</v>
      </c>
      <c r="I159">
        <v>1.022671619868265E-2</v>
      </c>
      <c r="J159">
        <v>2.7917050903375221E-2</v>
      </c>
      <c r="K159">
        <v>84</v>
      </c>
      <c r="M159">
        <f t="shared" si="6"/>
        <v>135.33161971919938</v>
      </c>
      <c r="N159">
        <f t="shared" si="7"/>
        <v>-51.331619719199381</v>
      </c>
      <c r="O159">
        <f t="shared" si="8"/>
        <v>2634.9351829964985</v>
      </c>
    </row>
    <row r="160" spans="1:15" x14ac:dyDescent="0.25">
      <c r="A160">
        <v>-1.2779631880848869E-2</v>
      </c>
      <c r="B160">
        <v>-4.4641636506989137E-2</v>
      </c>
      <c r="C160">
        <v>-6.5485618199251056E-2</v>
      </c>
      <c r="D160">
        <v>-6.9948450011863103E-2</v>
      </c>
      <c r="E160">
        <v>1.182945896190995E-3</v>
      </c>
      <c r="F160">
        <v>1.6848733357574312E-2</v>
      </c>
      <c r="G160">
        <v>-2.9028298070685561E-3</v>
      </c>
      <c r="H160">
        <v>-7.0203965032924831E-3</v>
      </c>
      <c r="I160">
        <v>-3.0747917533098211E-2</v>
      </c>
      <c r="J160">
        <v>-5.0782980478479442E-2</v>
      </c>
      <c r="K160">
        <v>96</v>
      </c>
      <c r="M160">
        <f t="shared" si="6"/>
        <v>78.397812287041504</v>
      </c>
      <c r="N160">
        <f t="shared" si="7"/>
        <v>17.602187712958496</v>
      </c>
      <c r="O160">
        <f t="shared" si="8"/>
        <v>309.83701228222708</v>
      </c>
    </row>
    <row r="161" spans="1:15" x14ac:dyDescent="0.25">
      <c r="A161">
        <v>-5.5145549788100249E-3</v>
      </c>
      <c r="B161">
        <v>-4.4641636506989137E-2</v>
      </c>
      <c r="C161">
        <v>4.3373401262709672E-2</v>
      </c>
      <c r="D161">
        <v>8.7286554055172674E-2</v>
      </c>
      <c r="E161">
        <v>1.356652162000108E-2</v>
      </c>
      <c r="F161">
        <v>7.1411310420987214E-3</v>
      </c>
      <c r="G161">
        <v>-1.394774321932938E-2</v>
      </c>
      <c r="H161">
        <v>-2.592261998183278E-3</v>
      </c>
      <c r="I161">
        <v>4.2340984193580157E-2</v>
      </c>
      <c r="J161">
        <v>-1.764612515980379E-2</v>
      </c>
      <c r="K161">
        <v>195</v>
      </c>
      <c r="M161">
        <f t="shared" si="6"/>
        <v>220.32352363284605</v>
      </c>
      <c r="N161">
        <f t="shared" si="7"/>
        <v>-25.323523632846047</v>
      </c>
      <c r="O161">
        <f t="shared" si="8"/>
        <v>641.28084918331228</v>
      </c>
    </row>
    <row r="162" spans="1:15" x14ac:dyDescent="0.25">
      <c r="A162">
        <v>-9.1470934298294448E-3</v>
      </c>
      <c r="B162">
        <v>-4.4641636506989137E-2</v>
      </c>
      <c r="C162">
        <v>-6.2252181977608657E-2</v>
      </c>
      <c r="D162">
        <v>-7.452744180974262E-2</v>
      </c>
      <c r="E162">
        <v>-2.3584205551429181E-2</v>
      </c>
      <c r="F162">
        <v>-1.321351897422105E-2</v>
      </c>
      <c r="G162">
        <v>4.4604458011053274E-3</v>
      </c>
      <c r="H162">
        <v>-3.9493382874093291E-2</v>
      </c>
      <c r="I162">
        <v>-3.5816192584237301E-2</v>
      </c>
      <c r="J162">
        <v>-4.6640873563644977E-2</v>
      </c>
      <c r="K162">
        <v>53</v>
      </c>
      <c r="M162">
        <f t="shared" si="6"/>
        <v>74.513347885649864</v>
      </c>
      <c r="N162">
        <f t="shared" si="7"/>
        <v>-21.513347885649864</v>
      </c>
      <c r="O162">
        <f t="shared" si="8"/>
        <v>462.8241372489955</v>
      </c>
    </row>
    <row r="163" spans="1:15" x14ac:dyDescent="0.25">
      <c r="A163">
        <v>-4.5472477940023653E-2</v>
      </c>
      <c r="B163">
        <v>5.0680118739818619E-2</v>
      </c>
      <c r="C163">
        <v>6.3851830666444856E-2</v>
      </c>
      <c r="D163">
        <v>7.0072299175926361E-2</v>
      </c>
      <c r="E163">
        <v>0.13327442028349859</v>
      </c>
      <c r="F163">
        <v>0.13146107037254409</v>
      </c>
      <c r="G163">
        <v>-3.9719207847937969E-2</v>
      </c>
      <c r="H163">
        <v>0.10811110062954681</v>
      </c>
      <c r="I163">
        <v>7.5740552156482274E-2</v>
      </c>
      <c r="J163">
        <v>8.5906547711057601E-2</v>
      </c>
      <c r="K163">
        <v>217</v>
      </c>
      <c r="M163">
        <f t="shared" si="6"/>
        <v>255.29078760430775</v>
      </c>
      <c r="N163">
        <f t="shared" si="7"/>
        <v>-38.290787604307752</v>
      </c>
      <c r="O163">
        <f t="shared" si="8"/>
        <v>1466.1844153582083</v>
      </c>
    </row>
    <row r="164" spans="1:15" x14ac:dyDescent="0.25">
      <c r="A164">
        <v>-5.2737554842062502E-2</v>
      </c>
      <c r="B164">
        <v>-4.4641636506989137E-2</v>
      </c>
      <c r="C164">
        <v>3.043965637614009E-2</v>
      </c>
      <c r="D164">
        <v>-7.452744180974262E-2</v>
      </c>
      <c r="E164">
        <v>-2.3584205551429181E-2</v>
      </c>
      <c r="F164">
        <v>-1.133462820348383E-2</v>
      </c>
      <c r="G164">
        <v>-2.9028298070685561E-3</v>
      </c>
      <c r="H164">
        <v>-2.592261998183278E-3</v>
      </c>
      <c r="I164">
        <v>-3.0747917533098211E-2</v>
      </c>
      <c r="J164">
        <v>-1.0776975004659669E-3</v>
      </c>
      <c r="K164">
        <v>172</v>
      </c>
      <c r="M164">
        <f t="shared" si="6"/>
        <v>135.24789338600129</v>
      </c>
      <c r="N164">
        <f t="shared" si="7"/>
        <v>36.752106613998706</v>
      </c>
      <c r="O164">
        <f t="shared" si="8"/>
        <v>1350.7173405667274</v>
      </c>
    </row>
    <row r="165" spans="1:15" x14ac:dyDescent="0.25">
      <c r="A165">
        <v>1.6280675727306501E-2</v>
      </c>
      <c r="B165">
        <v>5.0680118739818619E-2</v>
      </c>
      <c r="C165">
        <v>7.2474327257491297E-2</v>
      </c>
      <c r="D165">
        <v>7.6958001127624881E-2</v>
      </c>
      <c r="E165">
        <v>-8.4487241112168512E-3</v>
      </c>
      <c r="F165">
        <v>5.5753887331510474E-3</v>
      </c>
      <c r="G165">
        <v>-6.584467611155497E-3</v>
      </c>
      <c r="H165">
        <v>-2.592261998183278E-3</v>
      </c>
      <c r="I165">
        <v>-2.3646863099937548E-2</v>
      </c>
      <c r="J165">
        <v>6.1053906222050869E-2</v>
      </c>
      <c r="K165">
        <v>131</v>
      </c>
      <c r="M165">
        <f t="shared" si="6"/>
        <v>204.42440818272789</v>
      </c>
      <c r="N165">
        <f t="shared" si="7"/>
        <v>-73.424408182727888</v>
      </c>
      <c r="O165">
        <f t="shared" si="8"/>
        <v>5391.1437169838382</v>
      </c>
    </row>
    <row r="166" spans="1:15" x14ac:dyDescent="0.25">
      <c r="A166">
        <v>4.5340983335461861E-2</v>
      </c>
      <c r="B166">
        <v>-4.4641636506989137E-2</v>
      </c>
      <c r="C166">
        <v>-1.913969902237667E-2</v>
      </c>
      <c r="D166">
        <v>2.18723855140367E-2</v>
      </c>
      <c r="E166">
        <v>2.732605020201229E-2</v>
      </c>
      <c r="F166">
        <v>-1.352666743601059E-2</v>
      </c>
      <c r="G166">
        <v>0.1001830287073658</v>
      </c>
      <c r="H166">
        <v>-3.9493382874093291E-2</v>
      </c>
      <c r="I166">
        <v>1.7765319557121531E-2</v>
      </c>
      <c r="J166">
        <v>-1.350401824496934E-2</v>
      </c>
      <c r="K166">
        <v>214</v>
      </c>
      <c r="M166">
        <f t="shared" si="6"/>
        <v>152.27625584581796</v>
      </c>
      <c r="N166">
        <f t="shared" si="7"/>
        <v>61.723744154182043</v>
      </c>
      <c r="O166">
        <f t="shared" si="8"/>
        <v>3809.820592410922</v>
      </c>
    </row>
    <row r="167" spans="1:15" x14ac:dyDescent="0.25">
      <c r="A167">
        <v>-4.1839939489004233E-2</v>
      </c>
      <c r="B167">
        <v>-4.4641636506989137E-2</v>
      </c>
      <c r="C167">
        <v>-6.6563430273131885E-2</v>
      </c>
      <c r="D167">
        <v>-4.6984634002948528E-2</v>
      </c>
      <c r="E167">
        <v>-3.7343734133440387E-2</v>
      </c>
      <c r="F167">
        <v>-4.3275771306016397E-2</v>
      </c>
      <c r="G167">
        <v>4.8640099450148619E-2</v>
      </c>
      <c r="H167">
        <v>-3.9493382874093291E-2</v>
      </c>
      <c r="I167">
        <v>-5.6153102007063332E-2</v>
      </c>
      <c r="J167">
        <v>-1.350401824496934E-2</v>
      </c>
      <c r="K167">
        <v>59</v>
      </c>
      <c r="M167">
        <f t="shared" si="6"/>
        <v>70.047217830822731</v>
      </c>
      <c r="N167">
        <f t="shared" si="7"/>
        <v>-11.047217830822731</v>
      </c>
      <c r="O167">
        <f t="shared" si="8"/>
        <v>122.04102180164769</v>
      </c>
    </row>
    <row r="168" spans="1:15" x14ac:dyDescent="0.25">
      <c r="A168">
        <v>-5.6370093293081923E-2</v>
      </c>
      <c r="B168">
        <v>5.0680118739818619E-2</v>
      </c>
      <c r="C168">
        <v>-6.0096557829847061E-2</v>
      </c>
      <c r="D168">
        <v>-3.6656081075400741E-2</v>
      </c>
      <c r="E168">
        <v>-8.8253989886881851E-2</v>
      </c>
      <c r="F168">
        <v>-7.0832835943495459E-2</v>
      </c>
      <c r="G168">
        <v>-1.394774321932938E-2</v>
      </c>
      <c r="H168">
        <v>-3.9493382874093291E-2</v>
      </c>
      <c r="I168">
        <v>-7.8139935502292646E-2</v>
      </c>
      <c r="J168">
        <v>-0.1046303703713274</v>
      </c>
      <c r="K168">
        <v>70</v>
      </c>
      <c r="M168">
        <f t="shared" si="6"/>
        <v>62.676342389048699</v>
      </c>
      <c r="N168">
        <f t="shared" si="7"/>
        <v>7.323657610951301</v>
      </c>
      <c r="O168">
        <f t="shared" si="8"/>
        <v>53.63596080244492</v>
      </c>
    </row>
    <row r="169" spans="1:15" x14ac:dyDescent="0.25">
      <c r="A169">
        <v>7.07687524925978E-2</v>
      </c>
      <c r="B169">
        <v>-4.4641636506989137E-2</v>
      </c>
      <c r="C169">
        <v>6.9240891035848851E-2</v>
      </c>
      <c r="D169">
        <v>3.7950499571252759E-2</v>
      </c>
      <c r="E169">
        <v>2.1822238769207809E-2</v>
      </c>
      <c r="F169">
        <v>1.5044587298871019E-3</v>
      </c>
      <c r="G169">
        <v>-3.6037570043851018E-2</v>
      </c>
      <c r="H169">
        <v>3.910600459159503E-2</v>
      </c>
      <c r="I169">
        <v>7.763659749935449E-2</v>
      </c>
      <c r="J169">
        <v>0.1066170822852299</v>
      </c>
      <c r="K169">
        <v>220</v>
      </c>
      <c r="M169">
        <f t="shared" si="6"/>
        <v>247.06375868946219</v>
      </c>
      <c r="N169">
        <f t="shared" si="7"/>
        <v>-27.06375868946219</v>
      </c>
      <c r="O169">
        <f t="shared" si="8"/>
        <v>732.44703440144019</v>
      </c>
    </row>
    <row r="170" spans="1:15" x14ac:dyDescent="0.25">
      <c r="A170">
        <v>1.750521923228816E-3</v>
      </c>
      <c r="B170">
        <v>5.0680118739818619E-2</v>
      </c>
      <c r="C170">
        <v>5.954058237092167E-2</v>
      </c>
      <c r="D170">
        <v>-2.2275713169081289E-3</v>
      </c>
      <c r="E170">
        <v>6.1724871657040312E-2</v>
      </c>
      <c r="F170">
        <v>6.3194705702425497E-2</v>
      </c>
      <c r="G170">
        <v>-5.8127396868372677E-2</v>
      </c>
      <c r="H170">
        <v>0.10811110062954681</v>
      </c>
      <c r="I170">
        <v>6.8985890622500198E-2</v>
      </c>
      <c r="J170">
        <v>0.12732761685940219</v>
      </c>
      <c r="K170">
        <v>268</v>
      </c>
      <c r="M170">
        <f t="shared" si="6"/>
        <v>232.08438936032627</v>
      </c>
      <c r="N170">
        <f t="shared" si="7"/>
        <v>35.91561063967373</v>
      </c>
      <c r="O170">
        <f t="shared" si="8"/>
        <v>1289.9310876206448</v>
      </c>
    </row>
    <row r="171" spans="1:15" x14ac:dyDescent="0.25">
      <c r="A171">
        <v>-1.8820165277906051E-3</v>
      </c>
      <c r="B171">
        <v>-4.4641636506989137E-2</v>
      </c>
      <c r="C171">
        <v>-2.6684383539542299E-2</v>
      </c>
      <c r="D171">
        <v>4.9415193320830803E-2</v>
      </c>
      <c r="E171">
        <v>5.897296594063807E-2</v>
      </c>
      <c r="F171">
        <v>-1.6031855130326862E-2</v>
      </c>
      <c r="G171">
        <v>-4.7082483456111851E-2</v>
      </c>
      <c r="H171">
        <v>7.1209979753636743E-2</v>
      </c>
      <c r="I171">
        <v>0.13359728192191361</v>
      </c>
      <c r="J171">
        <v>1.9632837073706309E-2</v>
      </c>
      <c r="K171">
        <v>152</v>
      </c>
      <c r="M171">
        <f t="shared" si="6"/>
        <v>221.08364977676285</v>
      </c>
      <c r="N171">
        <f t="shared" si="7"/>
        <v>-69.083649776762854</v>
      </c>
      <c r="O171">
        <f t="shared" si="8"/>
        <v>4772.5506664784261</v>
      </c>
    </row>
    <row r="172" spans="1:15" x14ac:dyDescent="0.25">
      <c r="A172">
        <v>2.3545752629345339E-2</v>
      </c>
      <c r="B172">
        <v>5.0680118739818619E-2</v>
      </c>
      <c r="C172">
        <v>-2.0217511096257489E-2</v>
      </c>
      <c r="D172">
        <v>-3.6656081075400741E-2</v>
      </c>
      <c r="E172">
        <v>-1.395253554402134E-2</v>
      </c>
      <c r="F172">
        <v>-1.5092409744958259E-2</v>
      </c>
      <c r="G172">
        <v>5.9685012862409452E-2</v>
      </c>
      <c r="H172">
        <v>-3.9493382874093291E-2</v>
      </c>
      <c r="I172">
        <v>-9.6434949940487125E-2</v>
      </c>
      <c r="J172">
        <v>-1.764612515980379E-2</v>
      </c>
      <c r="K172">
        <v>47</v>
      </c>
      <c r="M172">
        <f t="shared" si="6"/>
        <v>79.700405726824982</v>
      </c>
      <c r="N172">
        <f t="shared" si="7"/>
        <v>-32.700405726824982</v>
      </c>
      <c r="O172">
        <f t="shared" si="8"/>
        <v>1069.3165346989681</v>
      </c>
    </row>
    <row r="173" spans="1:15" x14ac:dyDescent="0.25">
      <c r="A173">
        <v>-2.0044708782887711E-2</v>
      </c>
      <c r="B173">
        <v>-4.4641636506989137E-2</v>
      </c>
      <c r="C173">
        <v>-4.608500086939666E-2</v>
      </c>
      <c r="D173">
        <v>-9.8627398640687453E-2</v>
      </c>
      <c r="E173">
        <v>-7.5870414163071775E-2</v>
      </c>
      <c r="F173">
        <v>-5.9872639780861742E-2</v>
      </c>
      <c r="G173">
        <v>-1.762938102341632E-2</v>
      </c>
      <c r="H173">
        <v>-3.9493382874093291E-2</v>
      </c>
      <c r="I173">
        <v>-5.1403873047272987E-2</v>
      </c>
      <c r="J173">
        <v>-4.6640873563644977E-2</v>
      </c>
      <c r="K173">
        <v>74</v>
      </c>
      <c r="M173">
        <f t="shared" si="6"/>
        <v>70.019269410655639</v>
      </c>
      <c r="N173">
        <f t="shared" si="7"/>
        <v>3.9807305893443612</v>
      </c>
      <c r="O173">
        <f t="shared" si="8"/>
        <v>15.846216024941905</v>
      </c>
    </row>
    <row r="174" spans="1:15" x14ac:dyDescent="0.25">
      <c r="A174">
        <v>4.170844488444244E-2</v>
      </c>
      <c r="B174">
        <v>5.0680118739818619E-2</v>
      </c>
      <c r="C174">
        <v>7.1396515183610482E-2</v>
      </c>
      <c r="D174">
        <v>8.1009816106396553E-3</v>
      </c>
      <c r="E174">
        <v>3.8333673067621261E-2</v>
      </c>
      <c r="F174">
        <v>1.5909287972205689E-2</v>
      </c>
      <c r="G174">
        <v>-1.762938102341632E-2</v>
      </c>
      <c r="H174">
        <v>3.4308858877726729E-2</v>
      </c>
      <c r="I174">
        <v>7.3406957888331931E-2</v>
      </c>
      <c r="J174">
        <v>8.5906547711057601E-2</v>
      </c>
      <c r="K174">
        <v>295</v>
      </c>
      <c r="M174">
        <f t="shared" si="6"/>
        <v>237.54090147104898</v>
      </c>
      <c r="N174">
        <f t="shared" si="7"/>
        <v>57.459098528951017</v>
      </c>
      <c r="O174">
        <f t="shared" si="8"/>
        <v>3301.5480037597008</v>
      </c>
    </row>
    <row r="175" spans="1:15" x14ac:dyDescent="0.25">
      <c r="A175">
        <v>-6.3635170195120758E-2</v>
      </c>
      <c r="B175">
        <v>5.0680118739818619E-2</v>
      </c>
      <c r="C175">
        <v>-7.9497175159701464E-2</v>
      </c>
      <c r="D175">
        <v>-5.67042229275739E-3</v>
      </c>
      <c r="E175">
        <v>-7.1742555588468412E-2</v>
      </c>
      <c r="F175">
        <v>-6.6448757478441978E-2</v>
      </c>
      <c r="G175">
        <v>-1.026610541524244E-2</v>
      </c>
      <c r="H175">
        <v>-3.9493382874093291E-2</v>
      </c>
      <c r="I175">
        <v>-1.8113692315690318E-2</v>
      </c>
      <c r="J175">
        <v>-5.4925087393313893E-2</v>
      </c>
      <c r="K175">
        <v>101</v>
      </c>
      <c r="M175">
        <f t="shared" si="6"/>
        <v>90.706207694005627</v>
      </c>
      <c r="N175">
        <f t="shared" si="7"/>
        <v>10.293792305994373</v>
      </c>
      <c r="O175">
        <f t="shared" si="8"/>
        <v>105.96216003894895</v>
      </c>
    </row>
    <row r="176" spans="1:15" x14ac:dyDescent="0.25">
      <c r="A176">
        <v>1.6280675727306501E-2</v>
      </c>
      <c r="B176">
        <v>5.0680118739818619E-2</v>
      </c>
      <c r="C176">
        <v>9.9612269724049084E-3</v>
      </c>
      <c r="D176">
        <v>-4.3541783027099268E-2</v>
      </c>
      <c r="E176">
        <v>-9.6509707036088591E-2</v>
      </c>
      <c r="F176">
        <v>-9.4632119039500112E-2</v>
      </c>
      <c r="G176">
        <v>-3.9719207847937969E-2</v>
      </c>
      <c r="H176">
        <v>-3.9493382874093291E-2</v>
      </c>
      <c r="I176">
        <v>1.703607134832455E-2</v>
      </c>
      <c r="J176">
        <v>7.206516329202944E-3</v>
      </c>
      <c r="K176">
        <v>151</v>
      </c>
      <c r="M176">
        <f t="shared" si="6"/>
        <v>152.736282172199</v>
      </c>
      <c r="N176">
        <f t="shared" si="7"/>
        <v>-1.7362821721989974</v>
      </c>
      <c r="O176">
        <f t="shared" si="8"/>
        <v>3.0146757814960687</v>
      </c>
    </row>
    <row r="177" spans="1:15" x14ac:dyDescent="0.25">
      <c r="A177">
        <v>6.7136214041578379E-2</v>
      </c>
      <c r="B177">
        <v>-4.4641636506989137E-2</v>
      </c>
      <c r="C177">
        <v>-3.8540316352231069E-2</v>
      </c>
      <c r="D177">
        <v>-2.6327528147852958E-2</v>
      </c>
      <c r="E177">
        <v>-3.1839922700635903E-2</v>
      </c>
      <c r="F177">
        <v>-2.636575436938152E-2</v>
      </c>
      <c r="G177">
        <v>8.1420836051922674E-3</v>
      </c>
      <c r="H177">
        <v>-3.9493382874093291E-2</v>
      </c>
      <c r="I177">
        <v>-2.712902329694316E-2</v>
      </c>
      <c r="J177">
        <v>3.064409414368488E-3</v>
      </c>
      <c r="K177">
        <v>127</v>
      </c>
      <c r="M177">
        <f t="shared" si="6"/>
        <v>106.71976511292985</v>
      </c>
      <c r="N177">
        <f t="shared" si="7"/>
        <v>20.280234887070151</v>
      </c>
      <c r="O177">
        <f t="shared" si="8"/>
        <v>411.28792707473724</v>
      </c>
    </row>
    <row r="178" spans="1:15" x14ac:dyDescent="0.25">
      <c r="A178">
        <v>4.5340983335461861E-2</v>
      </c>
      <c r="B178">
        <v>5.0680118739818619E-2</v>
      </c>
      <c r="C178">
        <v>1.9661535637332091E-2</v>
      </c>
      <c r="D178">
        <v>3.9086640393283009E-2</v>
      </c>
      <c r="E178">
        <v>2.0446285911006681E-2</v>
      </c>
      <c r="F178">
        <v>2.5930038749470821E-2</v>
      </c>
      <c r="G178">
        <v>8.1420836051922674E-3</v>
      </c>
      <c r="H178">
        <v>-2.592261998183278E-3</v>
      </c>
      <c r="I178">
        <v>-3.3008380745014909E-3</v>
      </c>
      <c r="J178">
        <v>1.9632837073706309E-2</v>
      </c>
      <c r="K178">
        <v>237</v>
      </c>
      <c r="M178">
        <f t="shared" si="6"/>
        <v>172.53136923526972</v>
      </c>
      <c r="N178">
        <f t="shared" si="7"/>
        <v>64.468630764730278</v>
      </c>
      <c r="O178">
        <f t="shared" si="8"/>
        <v>4156.2043526791276</v>
      </c>
    </row>
    <row r="179" spans="1:15" x14ac:dyDescent="0.25">
      <c r="A179">
        <v>4.8973521786481282E-2</v>
      </c>
      <c r="B179">
        <v>-4.4641636506989137E-2</v>
      </c>
      <c r="C179">
        <v>2.7206220154497682E-2</v>
      </c>
      <c r="D179">
        <v>-2.5191387325822712E-2</v>
      </c>
      <c r="E179">
        <v>2.319819162740893E-2</v>
      </c>
      <c r="F179">
        <v>1.841447566652198E-2</v>
      </c>
      <c r="G179">
        <v>-6.1809034672459622E-2</v>
      </c>
      <c r="H179">
        <v>8.0066248763855152E-2</v>
      </c>
      <c r="I179">
        <v>7.222192954903682E-2</v>
      </c>
      <c r="J179">
        <v>3.2059157818209678E-2</v>
      </c>
      <c r="K179">
        <v>225</v>
      </c>
      <c r="M179">
        <f t="shared" si="6"/>
        <v>203.90192842031374</v>
      </c>
      <c r="N179">
        <f t="shared" si="7"/>
        <v>21.098071579686263</v>
      </c>
      <c r="O179">
        <f t="shared" si="8"/>
        <v>445.1286243815652</v>
      </c>
    </row>
    <row r="180" spans="1:15" x14ac:dyDescent="0.25">
      <c r="A180">
        <v>4.170844488444244E-2</v>
      </c>
      <c r="B180">
        <v>-4.4641636506989137E-2</v>
      </c>
      <c r="C180">
        <v>-8.3615782835686752E-3</v>
      </c>
      <c r="D180">
        <v>-2.6327528147852958E-2</v>
      </c>
      <c r="E180">
        <v>2.4574144485610051E-2</v>
      </c>
      <c r="F180">
        <v>1.6222436433995228E-2</v>
      </c>
      <c r="G180">
        <v>7.0729926274670271E-2</v>
      </c>
      <c r="H180">
        <v>-3.9493382874093291E-2</v>
      </c>
      <c r="I180">
        <v>-4.8359261775545531E-2</v>
      </c>
      <c r="J180">
        <v>-3.007244590430716E-2</v>
      </c>
      <c r="K180">
        <v>81</v>
      </c>
      <c r="M180">
        <f t="shared" si="6"/>
        <v>112.78553308918889</v>
      </c>
      <c r="N180">
        <f t="shared" si="7"/>
        <v>-31.785533089188888</v>
      </c>
      <c r="O180">
        <f t="shared" si="8"/>
        <v>1010.3201137639218</v>
      </c>
    </row>
    <row r="181" spans="1:15" x14ac:dyDescent="0.25">
      <c r="A181">
        <v>-2.3677247233907128E-2</v>
      </c>
      <c r="B181">
        <v>-4.4641636506989137E-2</v>
      </c>
      <c r="C181">
        <v>-1.5906262800734299E-2</v>
      </c>
      <c r="D181">
        <v>-1.255612424445591E-2</v>
      </c>
      <c r="E181">
        <v>2.0446285911006681E-2</v>
      </c>
      <c r="F181">
        <v>4.1274313377158041E-2</v>
      </c>
      <c r="G181">
        <v>-4.3400845652024907E-2</v>
      </c>
      <c r="H181">
        <v>3.4308858877726729E-2</v>
      </c>
      <c r="I181">
        <v>1.4073500500086791E-2</v>
      </c>
      <c r="J181">
        <v>-9.3619113301348783E-3</v>
      </c>
      <c r="K181">
        <v>151</v>
      </c>
      <c r="M181">
        <f t="shared" si="6"/>
        <v>148.6124019677132</v>
      </c>
      <c r="N181">
        <f t="shared" si="7"/>
        <v>2.3875980322868031</v>
      </c>
      <c r="O181">
        <f t="shared" si="8"/>
        <v>5.7006243637798137</v>
      </c>
    </row>
    <row r="182" spans="1:15" x14ac:dyDescent="0.25">
      <c r="A182">
        <v>-3.8207401037984812E-2</v>
      </c>
      <c r="B182">
        <v>5.0680118739818619E-2</v>
      </c>
      <c r="C182">
        <v>4.5721666030009121E-3</v>
      </c>
      <c r="D182">
        <v>3.5643789417433749E-2</v>
      </c>
      <c r="E182">
        <v>-1.120062982761909E-2</v>
      </c>
      <c r="F182">
        <v>5.8885371949405846E-3</v>
      </c>
      <c r="G182">
        <v>-4.7082483456111851E-2</v>
      </c>
      <c r="H182">
        <v>3.4308858877726729E-2</v>
      </c>
      <c r="I182">
        <v>1.6306823139527551E-2</v>
      </c>
      <c r="J182">
        <v>-1.0776975004659669E-3</v>
      </c>
      <c r="K182">
        <v>107</v>
      </c>
      <c r="M182">
        <f t="shared" si="6"/>
        <v>174.40269213234993</v>
      </c>
      <c r="N182">
        <f t="shared" si="7"/>
        <v>-67.402692132349927</v>
      </c>
      <c r="O182">
        <f t="shared" si="8"/>
        <v>4543.122906688347</v>
      </c>
    </row>
    <row r="183" spans="1:15" x14ac:dyDescent="0.25">
      <c r="A183">
        <v>4.8973521786481282E-2</v>
      </c>
      <c r="B183">
        <v>-4.4641636506989137E-2</v>
      </c>
      <c r="C183">
        <v>-4.2851564647754289E-2</v>
      </c>
      <c r="D183">
        <v>-5.3870335954647047E-2</v>
      </c>
      <c r="E183">
        <v>4.5213437358626873E-2</v>
      </c>
      <c r="F183">
        <v>5.0042470307265011E-2</v>
      </c>
      <c r="G183">
        <v>3.3913548233800862E-2</v>
      </c>
      <c r="H183">
        <v>-2.592261998183278E-3</v>
      </c>
      <c r="I183">
        <v>-2.5953110560258001E-2</v>
      </c>
      <c r="J183">
        <v>-6.3209301222982794E-2</v>
      </c>
      <c r="K183">
        <v>64</v>
      </c>
      <c r="M183">
        <f t="shared" si="6"/>
        <v>98.080147768978733</v>
      </c>
      <c r="N183">
        <f t="shared" si="7"/>
        <v>-34.080147768978733</v>
      </c>
      <c r="O183">
        <f t="shared" si="8"/>
        <v>1161.4564719554262</v>
      </c>
    </row>
    <row r="184" spans="1:15" x14ac:dyDescent="0.25">
      <c r="A184">
        <v>4.5340983335461861E-2</v>
      </c>
      <c r="B184">
        <v>5.0680118739818619E-2</v>
      </c>
      <c r="C184">
        <v>5.6499786768816887E-3</v>
      </c>
      <c r="D184">
        <v>5.6300895272529322E-2</v>
      </c>
      <c r="E184">
        <v>6.4476777373442554E-2</v>
      </c>
      <c r="F184">
        <v>8.9186028030956863E-2</v>
      </c>
      <c r="G184">
        <v>-3.9719207847937969E-2</v>
      </c>
      <c r="H184">
        <v>7.1209979753636743E-2</v>
      </c>
      <c r="I184">
        <v>1.5568459328120621E-2</v>
      </c>
      <c r="J184">
        <v>-9.3619113301348783E-3</v>
      </c>
      <c r="K184">
        <v>138</v>
      </c>
      <c r="M184">
        <f t="shared" si="6"/>
        <v>182.24296762746445</v>
      </c>
      <c r="N184">
        <f t="shared" si="7"/>
        <v>-44.242967627464452</v>
      </c>
      <c r="O184">
        <f t="shared" si="8"/>
        <v>1957.4401844848676</v>
      </c>
    </row>
    <row r="185" spans="1:15" x14ac:dyDescent="0.25">
      <c r="A185">
        <v>4.5340983335461861E-2</v>
      </c>
      <c r="B185">
        <v>5.0680118739818619E-2</v>
      </c>
      <c r="C185">
        <v>-3.5306880130588657E-2</v>
      </c>
      <c r="D185">
        <v>6.3186597224227828E-2</v>
      </c>
      <c r="E185">
        <v>-4.320865536613489E-3</v>
      </c>
      <c r="F185">
        <v>-1.6270258880082471E-3</v>
      </c>
      <c r="G185">
        <v>-1.026610541524244E-2</v>
      </c>
      <c r="H185">
        <v>-2.592261998183278E-3</v>
      </c>
      <c r="I185">
        <v>1.5568459328120621E-2</v>
      </c>
      <c r="J185">
        <v>5.6911799307216418E-2</v>
      </c>
      <c r="K185">
        <v>185</v>
      </c>
      <c r="M185">
        <f t="shared" si="6"/>
        <v>157.13016678124742</v>
      </c>
      <c r="N185">
        <f t="shared" si="7"/>
        <v>27.869833218752575</v>
      </c>
      <c r="O185">
        <f t="shared" si="8"/>
        <v>776.72760364108456</v>
      </c>
    </row>
    <row r="186" spans="1:15" x14ac:dyDescent="0.25">
      <c r="A186">
        <v>1.6280675727306501E-2</v>
      </c>
      <c r="B186">
        <v>-4.4641636506989137E-2</v>
      </c>
      <c r="C186">
        <v>2.3972783932855311E-2</v>
      </c>
      <c r="D186">
        <v>-2.2884677172003699E-2</v>
      </c>
      <c r="E186">
        <v>-2.4960158409630302E-2</v>
      </c>
      <c r="F186">
        <v>-2.605260590759198E-2</v>
      </c>
      <c r="G186">
        <v>-3.2355932239764087E-2</v>
      </c>
      <c r="H186">
        <v>-2.592261998183278E-3</v>
      </c>
      <c r="I186">
        <v>3.7236246732001217E-2</v>
      </c>
      <c r="J186">
        <v>3.2059157818209678E-2</v>
      </c>
      <c r="K186">
        <v>265</v>
      </c>
      <c r="M186">
        <f t="shared" si="6"/>
        <v>179.60086662566943</v>
      </c>
      <c r="N186">
        <f t="shared" si="7"/>
        <v>85.399133374330574</v>
      </c>
      <c r="O186">
        <f t="shared" si="8"/>
        <v>7293.0119810867018</v>
      </c>
    </row>
    <row r="187" spans="1:15" x14ac:dyDescent="0.25">
      <c r="A187">
        <v>-7.4532785548179006E-2</v>
      </c>
      <c r="B187">
        <v>5.0680118739818619E-2</v>
      </c>
      <c r="C187">
        <v>-1.8061886948495889E-2</v>
      </c>
      <c r="D187">
        <v>8.1009816106396553E-3</v>
      </c>
      <c r="E187">
        <v>-1.9456346976825821E-2</v>
      </c>
      <c r="F187">
        <v>-2.4800012060433849E-2</v>
      </c>
      <c r="G187">
        <v>-6.5490672476546552E-2</v>
      </c>
      <c r="H187">
        <v>3.4308858877726729E-2</v>
      </c>
      <c r="I187">
        <v>6.7317735344877075E-2</v>
      </c>
      <c r="J187">
        <v>-1.764612515980379E-2</v>
      </c>
      <c r="K187">
        <v>101</v>
      </c>
      <c r="M187">
        <f t="shared" si="6"/>
        <v>178.85874350223597</v>
      </c>
      <c r="N187">
        <f t="shared" si="7"/>
        <v>-77.858743502235967</v>
      </c>
      <c r="O187">
        <f t="shared" si="8"/>
        <v>6061.9839397469714</v>
      </c>
    </row>
    <row r="188" spans="1:15" x14ac:dyDescent="0.25">
      <c r="A188">
        <v>-8.1797862450217848E-2</v>
      </c>
      <c r="B188">
        <v>5.0680118739818619E-2</v>
      </c>
      <c r="C188">
        <v>4.2295589188828898E-2</v>
      </c>
      <c r="D188">
        <v>-1.9441826196154439E-2</v>
      </c>
      <c r="E188">
        <v>3.9709625925822382E-2</v>
      </c>
      <c r="F188">
        <v>5.7558033390213828E-2</v>
      </c>
      <c r="G188">
        <v>-6.9172310280633503E-2</v>
      </c>
      <c r="H188">
        <v>0.10811110062954681</v>
      </c>
      <c r="I188">
        <v>4.7190484782080093E-2</v>
      </c>
      <c r="J188">
        <v>-3.8356659733976069E-2</v>
      </c>
      <c r="K188">
        <v>137</v>
      </c>
      <c r="M188">
        <f t="shared" si="6"/>
        <v>201.45335120365169</v>
      </c>
      <c r="N188">
        <f t="shared" si="7"/>
        <v>-64.453351203651692</v>
      </c>
      <c r="O188">
        <f t="shared" si="8"/>
        <v>4154.2344813812688</v>
      </c>
    </row>
    <row r="189" spans="1:15" x14ac:dyDescent="0.25">
      <c r="A189">
        <v>-6.7267708646140179E-2</v>
      </c>
      <c r="B189">
        <v>-4.4641636506989137E-2</v>
      </c>
      <c r="C189">
        <v>-5.4707497460443059E-2</v>
      </c>
      <c r="D189">
        <v>-2.6327528147852958E-2</v>
      </c>
      <c r="E189">
        <v>-7.5870414163071775E-2</v>
      </c>
      <c r="F189">
        <v>-8.2106180567918727E-2</v>
      </c>
      <c r="G189">
        <v>4.8640099450148619E-2</v>
      </c>
      <c r="H189">
        <v>-7.6394503750003298E-2</v>
      </c>
      <c r="I189">
        <v>-8.6827104789586787E-2</v>
      </c>
      <c r="J189">
        <v>-0.1046303703713274</v>
      </c>
      <c r="K189">
        <v>143</v>
      </c>
      <c r="M189">
        <f t="shared" si="6"/>
        <v>61.667675067856067</v>
      </c>
      <c r="N189">
        <f t="shared" si="7"/>
        <v>81.332324932143933</v>
      </c>
      <c r="O189">
        <f t="shared" si="8"/>
        <v>6614.9470788678418</v>
      </c>
    </row>
    <row r="190" spans="1:15" x14ac:dyDescent="0.25">
      <c r="A190">
        <v>5.3830603742482368E-3</v>
      </c>
      <c r="B190">
        <v>-4.4641636506989137E-2</v>
      </c>
      <c r="C190">
        <v>-2.9725179141646772E-3</v>
      </c>
      <c r="D190">
        <v>4.9415193320830803E-2</v>
      </c>
      <c r="E190">
        <v>7.4108447380850401E-2</v>
      </c>
      <c r="F190">
        <v>7.07102687853743E-2</v>
      </c>
      <c r="G190">
        <v>4.4958461646061681E-2</v>
      </c>
      <c r="H190">
        <v>-2.592261998183278E-3</v>
      </c>
      <c r="I190">
        <v>-1.495948757728936E-3</v>
      </c>
      <c r="J190">
        <v>-9.3619113301348783E-3</v>
      </c>
      <c r="K190">
        <v>141</v>
      </c>
      <c r="M190">
        <f t="shared" si="6"/>
        <v>161.92048589302593</v>
      </c>
      <c r="N190">
        <f t="shared" si="7"/>
        <v>-20.920485893025926</v>
      </c>
      <c r="O190">
        <f t="shared" si="8"/>
        <v>437.66673000029681</v>
      </c>
    </row>
    <row r="191" spans="1:15" x14ac:dyDescent="0.25">
      <c r="A191">
        <v>-1.8820165277906051E-3</v>
      </c>
      <c r="B191">
        <v>-4.4641636506989137E-2</v>
      </c>
      <c r="C191">
        <v>-6.6563430273131885E-2</v>
      </c>
      <c r="D191">
        <v>1.2152796589411331E-3</v>
      </c>
      <c r="E191">
        <v>-2.944912678412368E-3</v>
      </c>
      <c r="F191">
        <v>3.0702010388347759E-3</v>
      </c>
      <c r="G191">
        <v>1.182372140927921E-2</v>
      </c>
      <c r="H191">
        <v>-2.592261998183278E-3</v>
      </c>
      <c r="I191">
        <v>-2.0292321339471359E-2</v>
      </c>
      <c r="J191">
        <v>-2.5930338989472699E-2</v>
      </c>
      <c r="K191">
        <v>79</v>
      </c>
      <c r="M191">
        <f t="shared" si="6"/>
        <v>102.40543315074258</v>
      </c>
      <c r="N191">
        <f t="shared" si="7"/>
        <v>-23.405433150742581</v>
      </c>
      <c r="O191">
        <f t="shared" si="8"/>
        <v>547.81430097387977</v>
      </c>
    </row>
    <row r="192" spans="1:15" x14ac:dyDescent="0.25">
      <c r="A192">
        <v>9.0155988252676577E-3</v>
      </c>
      <c r="B192">
        <v>-4.4641636506989137E-2</v>
      </c>
      <c r="C192">
        <v>-1.2672826579091899E-2</v>
      </c>
      <c r="D192">
        <v>2.875808746573523E-2</v>
      </c>
      <c r="E192">
        <v>-1.80803941186247E-2</v>
      </c>
      <c r="F192">
        <v>-5.0716589676931354E-3</v>
      </c>
      <c r="G192">
        <v>-4.7082483456111851E-2</v>
      </c>
      <c r="H192">
        <v>3.4308858877726729E-2</v>
      </c>
      <c r="I192">
        <v>2.337141516224845E-2</v>
      </c>
      <c r="J192">
        <v>-5.2198044153004232E-3</v>
      </c>
      <c r="K192">
        <v>292</v>
      </c>
      <c r="M192">
        <f t="shared" si="6"/>
        <v>165.90974996115349</v>
      </c>
      <c r="N192">
        <f t="shared" si="7"/>
        <v>126.09025003884651</v>
      </c>
      <c r="O192">
        <f t="shared" si="8"/>
        <v>15898.751154858832</v>
      </c>
    </row>
    <row r="193" spans="1:15" x14ac:dyDescent="0.25">
      <c r="A193">
        <v>-5.5145549788100249E-3</v>
      </c>
      <c r="B193">
        <v>5.0680118739818619E-2</v>
      </c>
      <c r="C193">
        <v>-4.1773752573873467E-2</v>
      </c>
      <c r="D193">
        <v>-4.3541783027099268E-2</v>
      </c>
      <c r="E193">
        <v>-7.9998272737675138E-2</v>
      </c>
      <c r="F193">
        <v>-7.6156359793917563E-2</v>
      </c>
      <c r="G193">
        <v>-3.2355932239764087E-2</v>
      </c>
      <c r="H193">
        <v>-3.9493382874093291E-2</v>
      </c>
      <c r="I193">
        <v>1.022671619868265E-2</v>
      </c>
      <c r="J193">
        <v>-9.3619113301348783E-3</v>
      </c>
      <c r="K193">
        <v>178</v>
      </c>
      <c r="M193">
        <f t="shared" si="6"/>
        <v>118.54515620113577</v>
      </c>
      <c r="N193">
        <f t="shared" si="7"/>
        <v>59.454843798864232</v>
      </c>
      <c r="O193">
        <f t="shared" si="8"/>
        <v>3534.8784511473445</v>
      </c>
    </row>
    <row r="194" spans="1:15" x14ac:dyDescent="0.25">
      <c r="A194">
        <v>5.6238598688520117E-2</v>
      </c>
      <c r="B194">
        <v>5.0680118739818619E-2</v>
      </c>
      <c r="C194">
        <v>-3.0995631835065481E-2</v>
      </c>
      <c r="D194">
        <v>8.1009816106396553E-3</v>
      </c>
      <c r="E194">
        <v>1.9070333052805571E-2</v>
      </c>
      <c r="F194">
        <v>2.123281182262779E-2</v>
      </c>
      <c r="G194">
        <v>3.3913548233800862E-2</v>
      </c>
      <c r="H194">
        <v>-3.9493382874093291E-2</v>
      </c>
      <c r="I194">
        <v>-2.9526426783363261E-2</v>
      </c>
      <c r="J194">
        <v>-5.9067194308148351E-2</v>
      </c>
      <c r="K194">
        <v>91</v>
      </c>
      <c r="M194">
        <f t="shared" si="6"/>
        <v>116.84715528989274</v>
      </c>
      <c r="N194">
        <f t="shared" si="7"/>
        <v>-25.84715528989274</v>
      </c>
      <c r="O194">
        <f t="shared" si="8"/>
        <v>668.07543657983024</v>
      </c>
    </row>
    <row r="195" spans="1:15" x14ac:dyDescent="0.25">
      <c r="A195">
        <v>9.0155988252676577E-3</v>
      </c>
      <c r="B195">
        <v>5.0680118739818619E-2</v>
      </c>
      <c r="C195">
        <v>-5.1281420619263074E-3</v>
      </c>
      <c r="D195">
        <v>-6.4198888882194827E-2</v>
      </c>
      <c r="E195">
        <v>6.9980588806247038E-2</v>
      </c>
      <c r="F195">
        <v>8.3862504180534772E-2</v>
      </c>
      <c r="G195">
        <v>-3.9719207847937969E-2</v>
      </c>
      <c r="H195">
        <v>7.1209979753636743E-2</v>
      </c>
      <c r="I195">
        <v>3.954249419232167E-2</v>
      </c>
      <c r="J195">
        <v>1.9632837073706309E-2</v>
      </c>
      <c r="K195">
        <v>116</v>
      </c>
      <c r="M195">
        <f t="shared" ref="M195:M258" si="9">$A$446 + SUMPRODUCT($B$446:$K$446, A195:J195)</f>
        <v>157.6866941828288</v>
      </c>
      <c r="N195">
        <f t="shared" ref="N195:N258" si="10">K195-M195</f>
        <v>-41.686694182828802</v>
      </c>
      <c r="O195">
        <f t="shared" ref="O195:O258" si="11">N195^2</f>
        <v>1737.7804718926927</v>
      </c>
    </row>
    <row r="196" spans="1:15" x14ac:dyDescent="0.25">
      <c r="A196">
        <v>-6.7267708646140179E-2</v>
      </c>
      <c r="B196">
        <v>-4.4641636506989137E-2</v>
      </c>
      <c r="C196">
        <v>-5.901874575596628E-2</v>
      </c>
      <c r="D196">
        <v>3.2200938441584483E-2</v>
      </c>
      <c r="E196">
        <v>-5.1103262715451597E-2</v>
      </c>
      <c r="F196">
        <v>-4.9538740541807097E-2</v>
      </c>
      <c r="G196">
        <v>-1.026610541524244E-2</v>
      </c>
      <c r="H196">
        <v>-3.9493382874093291E-2</v>
      </c>
      <c r="I196">
        <v>2.004442644496637E-3</v>
      </c>
      <c r="J196">
        <v>2.377494398854077E-2</v>
      </c>
      <c r="K196">
        <v>86</v>
      </c>
      <c r="M196">
        <f t="shared" si="9"/>
        <v>124.95623837331999</v>
      </c>
      <c r="N196">
        <f t="shared" si="10"/>
        <v>-38.956238373319991</v>
      </c>
      <c r="O196">
        <f t="shared" si="11"/>
        <v>1517.588508198929</v>
      </c>
    </row>
    <row r="197" spans="1:15" x14ac:dyDescent="0.25">
      <c r="A197">
        <v>2.717829108036476E-2</v>
      </c>
      <c r="B197">
        <v>5.0680118739818619E-2</v>
      </c>
      <c r="C197">
        <v>2.5050596006736089E-2</v>
      </c>
      <c r="D197">
        <v>1.498668356233818E-2</v>
      </c>
      <c r="E197">
        <v>2.5950097343811169E-2</v>
      </c>
      <c r="F197">
        <v>4.8476727998317343E-2</v>
      </c>
      <c r="G197">
        <v>-3.9719207847937969E-2</v>
      </c>
      <c r="H197">
        <v>3.4308858877726729E-2</v>
      </c>
      <c r="I197">
        <v>7.8384283148725652E-3</v>
      </c>
      <c r="J197">
        <v>2.377494398854077E-2</v>
      </c>
      <c r="K197">
        <v>122</v>
      </c>
      <c r="M197">
        <f t="shared" si="9"/>
        <v>177.64677017974711</v>
      </c>
      <c r="N197">
        <f t="shared" si="10"/>
        <v>-55.646770179747108</v>
      </c>
      <c r="O197">
        <f t="shared" si="11"/>
        <v>3096.5630314375921</v>
      </c>
    </row>
    <row r="198" spans="1:15" x14ac:dyDescent="0.25">
      <c r="A198">
        <v>-2.3677247233907128E-2</v>
      </c>
      <c r="B198">
        <v>-4.4641636506989137E-2</v>
      </c>
      <c r="C198">
        <v>-4.608500086939666E-2</v>
      </c>
      <c r="D198">
        <v>-3.3213230099551481E-2</v>
      </c>
      <c r="E198">
        <v>3.282986163481677E-2</v>
      </c>
      <c r="F198">
        <v>3.6263937988525459E-2</v>
      </c>
      <c r="G198">
        <v>3.75951860378878E-2</v>
      </c>
      <c r="H198">
        <v>-2.592261998183278E-3</v>
      </c>
      <c r="I198">
        <v>-3.3245592648227913E-2</v>
      </c>
      <c r="J198">
        <v>1.13486232440374E-2</v>
      </c>
      <c r="K198">
        <v>72</v>
      </c>
      <c r="M198">
        <f t="shared" si="9"/>
        <v>100.26582868172031</v>
      </c>
      <c r="N198">
        <f t="shared" si="10"/>
        <v>-28.265828681720308</v>
      </c>
      <c r="O198">
        <f t="shared" si="11"/>
        <v>798.95707106436237</v>
      </c>
    </row>
    <row r="199" spans="1:15" x14ac:dyDescent="0.25">
      <c r="A199">
        <v>4.8973521786481282E-2</v>
      </c>
      <c r="B199">
        <v>5.0680118739818619E-2</v>
      </c>
      <c r="C199">
        <v>3.494354529120097E-3</v>
      </c>
      <c r="D199">
        <v>7.0072299175926361E-2</v>
      </c>
      <c r="E199">
        <v>-8.4487241112168512E-3</v>
      </c>
      <c r="F199">
        <v>1.340410027788942E-2</v>
      </c>
      <c r="G199">
        <v>-5.4445759064285733E-2</v>
      </c>
      <c r="H199">
        <v>3.4308858877726729E-2</v>
      </c>
      <c r="I199">
        <v>1.3316905483459899E-2</v>
      </c>
      <c r="J199">
        <v>3.6201264733044143E-2</v>
      </c>
      <c r="K199">
        <v>129</v>
      </c>
      <c r="M199">
        <f t="shared" si="9"/>
        <v>182.35236797985536</v>
      </c>
      <c r="N199">
        <f t="shared" si="10"/>
        <v>-53.352367979855359</v>
      </c>
      <c r="O199">
        <f t="shared" si="11"/>
        <v>2846.4751690578955</v>
      </c>
    </row>
    <row r="200" spans="1:15" x14ac:dyDescent="0.25">
      <c r="A200">
        <v>-5.2737554842062502E-2</v>
      </c>
      <c r="B200">
        <v>-4.4641636506989137E-2</v>
      </c>
      <c r="C200">
        <v>5.4151522001517662E-2</v>
      </c>
      <c r="D200">
        <v>-2.6327528147852958E-2</v>
      </c>
      <c r="E200">
        <v>-5.523112129005496E-2</v>
      </c>
      <c r="F200">
        <v>-3.3881317452330348E-2</v>
      </c>
      <c r="G200">
        <v>-1.394774321932938E-2</v>
      </c>
      <c r="H200">
        <v>-3.9493382874093291E-2</v>
      </c>
      <c r="I200">
        <v>-7.4092607943469349E-2</v>
      </c>
      <c r="J200">
        <v>-5.9067194308148351E-2</v>
      </c>
      <c r="K200">
        <v>142</v>
      </c>
      <c r="M200">
        <f t="shared" si="9"/>
        <v>135.67282253341958</v>
      </c>
      <c r="N200">
        <f t="shared" si="10"/>
        <v>6.327177466580423</v>
      </c>
      <c r="O200">
        <f t="shared" si="11"/>
        <v>40.033174693603058</v>
      </c>
    </row>
    <row r="201" spans="1:15" x14ac:dyDescent="0.25">
      <c r="A201">
        <v>4.170844488444244E-2</v>
      </c>
      <c r="B201">
        <v>-4.4641636506989137E-2</v>
      </c>
      <c r="C201">
        <v>-4.5007188795515879E-2</v>
      </c>
      <c r="D201">
        <v>3.4507648595403492E-2</v>
      </c>
      <c r="E201">
        <v>4.3837484500425739E-2</v>
      </c>
      <c r="F201">
        <v>-1.5718706668537322E-2</v>
      </c>
      <c r="G201">
        <v>3.75951860378878E-2</v>
      </c>
      <c r="H201">
        <v>-1.4400620678474481E-2</v>
      </c>
      <c r="I201">
        <v>8.9897083009753895E-2</v>
      </c>
      <c r="J201">
        <v>7.206516329202944E-3</v>
      </c>
      <c r="K201">
        <v>90</v>
      </c>
      <c r="M201">
        <f t="shared" si="9"/>
        <v>178.58619976116094</v>
      </c>
      <c r="N201">
        <f t="shared" si="10"/>
        <v>-88.586199761160941</v>
      </c>
      <c r="O201">
        <f t="shared" si="11"/>
        <v>7847.5147881243111</v>
      </c>
    </row>
    <row r="202" spans="1:15" x14ac:dyDescent="0.25">
      <c r="A202">
        <v>5.6238598688520117E-2</v>
      </c>
      <c r="B202">
        <v>-4.4641636506989137E-2</v>
      </c>
      <c r="C202">
        <v>-5.7940933682085471E-2</v>
      </c>
      <c r="D202">
        <v>-7.9771324465764005E-3</v>
      </c>
      <c r="E202">
        <v>5.2093201649632472E-2</v>
      </c>
      <c r="F202">
        <v>4.9103024921896422E-2</v>
      </c>
      <c r="G202">
        <v>5.6003375058322508E-2</v>
      </c>
      <c r="H202">
        <v>-2.141183364489738E-2</v>
      </c>
      <c r="I202">
        <v>-2.8323167238848201E-2</v>
      </c>
      <c r="J202">
        <v>4.4485478562713038E-2</v>
      </c>
      <c r="K202">
        <v>158</v>
      </c>
      <c r="M202">
        <f t="shared" si="9"/>
        <v>102.0527029216541</v>
      </c>
      <c r="N202">
        <f t="shared" si="10"/>
        <v>55.947297078345898</v>
      </c>
      <c r="O202">
        <f t="shared" si="11"/>
        <v>3130.1000503726914</v>
      </c>
    </row>
    <row r="203" spans="1:15" x14ac:dyDescent="0.25">
      <c r="A203">
        <v>-3.4574862586965391E-2</v>
      </c>
      <c r="B203">
        <v>5.0680118739818619E-2</v>
      </c>
      <c r="C203">
        <v>-5.5785309534323882E-2</v>
      </c>
      <c r="D203">
        <v>-1.5998975220305179E-2</v>
      </c>
      <c r="E203">
        <v>-9.8246769694179722E-3</v>
      </c>
      <c r="F203">
        <v>-7.8899951237989454E-3</v>
      </c>
      <c r="G203">
        <v>3.75951860378878E-2</v>
      </c>
      <c r="H203">
        <v>-3.9493382874093291E-2</v>
      </c>
      <c r="I203">
        <v>-5.2962641093576568E-2</v>
      </c>
      <c r="J203">
        <v>2.7917050903375221E-2</v>
      </c>
      <c r="K203">
        <v>39</v>
      </c>
      <c r="M203">
        <f t="shared" si="9"/>
        <v>87.249939807186678</v>
      </c>
      <c r="N203">
        <f t="shared" si="10"/>
        <v>-48.249939807186678</v>
      </c>
      <c r="O203">
        <f t="shared" si="11"/>
        <v>2328.0566913971375</v>
      </c>
    </row>
    <row r="204" spans="1:15" x14ac:dyDescent="0.25">
      <c r="A204">
        <v>8.1666367845656063E-2</v>
      </c>
      <c r="B204">
        <v>5.0680118739818619E-2</v>
      </c>
      <c r="C204">
        <v>1.338730381358506E-3</v>
      </c>
      <c r="D204">
        <v>3.5643789417433749E-2</v>
      </c>
      <c r="E204">
        <v>0.126394655992493</v>
      </c>
      <c r="F204">
        <v>9.1064918801694067E-2</v>
      </c>
      <c r="G204">
        <v>1.9186997017453088E-2</v>
      </c>
      <c r="H204">
        <v>3.4308858877726729E-2</v>
      </c>
      <c r="I204">
        <v>8.4491530662046177E-2</v>
      </c>
      <c r="J204">
        <v>-3.007244590430716E-2</v>
      </c>
      <c r="K204">
        <v>196</v>
      </c>
      <c r="M204">
        <f t="shared" si="9"/>
        <v>205.45188926076491</v>
      </c>
      <c r="N204">
        <f t="shared" si="10"/>
        <v>-9.451889260764915</v>
      </c>
      <c r="O204">
        <f t="shared" si="11"/>
        <v>89.338210597763137</v>
      </c>
    </row>
    <row r="205" spans="1:15" x14ac:dyDescent="0.25">
      <c r="A205">
        <v>-1.8820165277906051E-3</v>
      </c>
      <c r="B205">
        <v>5.0680118739818619E-2</v>
      </c>
      <c r="C205">
        <v>3.043965637614009E-2</v>
      </c>
      <c r="D205">
        <v>5.2858044296680062E-2</v>
      </c>
      <c r="E205">
        <v>3.9709625925822382E-2</v>
      </c>
      <c r="F205">
        <v>5.6618588004845233E-2</v>
      </c>
      <c r="G205">
        <v>-3.9719207847937969E-2</v>
      </c>
      <c r="H205">
        <v>7.1209979753636743E-2</v>
      </c>
      <c r="I205">
        <v>2.5395078941660071E-2</v>
      </c>
      <c r="J205">
        <v>2.7917050903375221E-2</v>
      </c>
      <c r="K205">
        <v>222</v>
      </c>
      <c r="M205">
        <f t="shared" si="9"/>
        <v>201.9319540761729</v>
      </c>
      <c r="N205">
        <f t="shared" si="10"/>
        <v>20.0680459238271</v>
      </c>
      <c r="O205">
        <f t="shared" si="11"/>
        <v>402.7264672008335</v>
      </c>
    </row>
    <row r="206" spans="1:15" x14ac:dyDescent="0.25">
      <c r="A206">
        <v>0.1107266754538114</v>
      </c>
      <c r="B206">
        <v>5.0680118739818619E-2</v>
      </c>
      <c r="C206">
        <v>6.7277907507625042E-3</v>
      </c>
      <c r="D206">
        <v>2.875808746573523E-2</v>
      </c>
      <c r="E206">
        <v>-2.771206412603254E-2</v>
      </c>
      <c r="F206">
        <v>-7.2636982002198883E-3</v>
      </c>
      <c r="G206">
        <v>-4.7082483456111851E-2</v>
      </c>
      <c r="H206">
        <v>3.4308858877726729E-2</v>
      </c>
      <c r="I206">
        <v>2.004442644496637E-3</v>
      </c>
      <c r="J206">
        <v>7.7622333881388686E-2</v>
      </c>
      <c r="K206">
        <v>277</v>
      </c>
      <c r="M206">
        <f t="shared" si="9"/>
        <v>169.28968202088197</v>
      </c>
      <c r="N206">
        <f t="shared" si="10"/>
        <v>107.71031797911803</v>
      </c>
      <c r="O206">
        <f t="shared" si="11"/>
        <v>11601.512599162717</v>
      </c>
    </row>
    <row r="207" spans="1:15" x14ac:dyDescent="0.25">
      <c r="A207">
        <v>-3.094232413594597E-2</v>
      </c>
      <c r="B207">
        <v>-4.4641636506989137E-2</v>
      </c>
      <c r="C207">
        <v>4.6606837484352077E-2</v>
      </c>
      <c r="D207">
        <v>1.498668356233818E-2</v>
      </c>
      <c r="E207">
        <v>-1.6704441260423579E-2</v>
      </c>
      <c r="F207">
        <v>-4.7033552847490813E-2</v>
      </c>
      <c r="G207">
        <v>7.7880799701838534E-4</v>
      </c>
      <c r="H207">
        <v>-2.592261998183278E-3</v>
      </c>
      <c r="I207">
        <v>6.3452719838253055E-2</v>
      </c>
      <c r="J207">
        <v>-2.5930338989472699E-2</v>
      </c>
      <c r="K207">
        <v>99</v>
      </c>
      <c r="M207">
        <f t="shared" si="9"/>
        <v>213.79155120291654</v>
      </c>
      <c r="N207">
        <f t="shared" si="10"/>
        <v>-114.79155120291654</v>
      </c>
      <c r="O207">
        <f t="shared" si="11"/>
        <v>13177.100227571809</v>
      </c>
    </row>
    <row r="208" spans="1:15" x14ac:dyDescent="0.25">
      <c r="A208">
        <v>1.750521923228816E-3</v>
      </c>
      <c r="B208">
        <v>5.0680118739818619E-2</v>
      </c>
      <c r="C208">
        <v>2.6128408080616901E-2</v>
      </c>
      <c r="D208">
        <v>-9.1132732686066524E-3</v>
      </c>
      <c r="E208">
        <v>2.4574144485610051E-2</v>
      </c>
      <c r="F208">
        <v>3.8455977221052207E-2</v>
      </c>
      <c r="G208">
        <v>-2.1311018827503261E-2</v>
      </c>
      <c r="H208">
        <v>3.4308858877726729E-2</v>
      </c>
      <c r="I208">
        <v>9.4336587716159874E-3</v>
      </c>
      <c r="J208">
        <v>3.064409414368488E-3</v>
      </c>
      <c r="K208">
        <v>196</v>
      </c>
      <c r="M208">
        <f t="shared" si="9"/>
        <v>172.19542546517008</v>
      </c>
      <c r="N208">
        <f t="shared" si="10"/>
        <v>23.804574534829925</v>
      </c>
      <c r="O208">
        <f t="shared" si="11"/>
        <v>566.65776878427334</v>
      </c>
    </row>
    <row r="209" spans="1:15" x14ac:dyDescent="0.25">
      <c r="A209">
        <v>9.0155988252676577E-3</v>
      </c>
      <c r="B209">
        <v>-4.4641636506989137E-2</v>
      </c>
      <c r="C209">
        <v>4.5529025410471297E-2</v>
      </c>
      <c r="D209">
        <v>2.875808746573523E-2</v>
      </c>
      <c r="E209">
        <v>1.2190568761799961E-2</v>
      </c>
      <c r="F209">
        <v>-1.3839815897800129E-2</v>
      </c>
      <c r="G209">
        <v>2.655027262562697E-2</v>
      </c>
      <c r="H209">
        <v>-3.9493382874093291E-2</v>
      </c>
      <c r="I209">
        <v>4.6133074879324491E-2</v>
      </c>
      <c r="J209">
        <v>3.6201264733044143E-2</v>
      </c>
      <c r="K209">
        <v>202</v>
      </c>
      <c r="M209">
        <f t="shared" si="9"/>
        <v>207.57538715812842</v>
      </c>
      <c r="N209">
        <f t="shared" si="10"/>
        <v>-5.5753871581284216</v>
      </c>
      <c r="O209">
        <f t="shared" si="11"/>
        <v>31.084941963023319</v>
      </c>
    </row>
    <row r="210" spans="1:15" x14ac:dyDescent="0.25">
      <c r="A210">
        <v>3.0810829531384181E-2</v>
      </c>
      <c r="B210">
        <v>-4.4641636506989137E-2</v>
      </c>
      <c r="C210">
        <v>4.0139965041067309E-2</v>
      </c>
      <c r="D210">
        <v>7.6958001127624881E-2</v>
      </c>
      <c r="E210">
        <v>1.769438019460445E-2</v>
      </c>
      <c r="F210">
        <v>3.7829680297473127E-2</v>
      </c>
      <c r="G210">
        <v>-2.867429443567714E-2</v>
      </c>
      <c r="H210">
        <v>3.4308858877726729E-2</v>
      </c>
      <c r="I210">
        <v>-1.495948757728936E-3</v>
      </c>
      <c r="J210">
        <v>0.11904340302973319</v>
      </c>
      <c r="K210">
        <v>155</v>
      </c>
      <c r="M210">
        <f t="shared" si="9"/>
        <v>200.85727711842989</v>
      </c>
      <c r="N210">
        <f t="shared" si="10"/>
        <v>-45.857277118429892</v>
      </c>
      <c r="O210">
        <f t="shared" si="11"/>
        <v>2102.8898647164738</v>
      </c>
    </row>
    <row r="211" spans="1:15" x14ac:dyDescent="0.25">
      <c r="A211">
        <v>3.8075906433423033E-2</v>
      </c>
      <c r="B211">
        <v>5.0680118739818619E-2</v>
      </c>
      <c r="C211">
        <v>-1.8061886948495889E-2</v>
      </c>
      <c r="D211">
        <v>6.6629448200077102E-2</v>
      </c>
      <c r="E211">
        <v>-5.1103262715451597E-2</v>
      </c>
      <c r="F211">
        <v>-1.6658152053905941E-2</v>
      </c>
      <c r="G211">
        <v>-7.6535585888807392E-2</v>
      </c>
      <c r="H211">
        <v>3.4308858877726729E-2</v>
      </c>
      <c r="I211">
        <v>-1.189685133569598E-2</v>
      </c>
      <c r="J211">
        <v>-1.350401824496934E-2</v>
      </c>
      <c r="K211">
        <v>77</v>
      </c>
      <c r="M211">
        <f t="shared" si="9"/>
        <v>154.74256759837417</v>
      </c>
      <c r="N211">
        <f t="shared" si="10"/>
        <v>-77.742567598374166</v>
      </c>
      <c r="O211">
        <f t="shared" si="11"/>
        <v>6043.9068167877767</v>
      </c>
    </row>
    <row r="212" spans="1:15" x14ac:dyDescent="0.25">
      <c r="A212">
        <v>9.0155988252676577E-3</v>
      </c>
      <c r="B212">
        <v>-4.4641636506989137E-2</v>
      </c>
      <c r="C212">
        <v>1.4272475267928089E-2</v>
      </c>
      <c r="D212">
        <v>1.498668356233818E-2</v>
      </c>
      <c r="E212">
        <v>5.4845107366034707E-2</v>
      </c>
      <c r="F212">
        <v>4.7224134151159183E-2</v>
      </c>
      <c r="G212">
        <v>7.0729926274670271E-2</v>
      </c>
      <c r="H212">
        <v>-3.9493382874093291E-2</v>
      </c>
      <c r="I212">
        <v>-3.3245592648227913E-2</v>
      </c>
      <c r="J212">
        <v>-5.9067194308148351E-2</v>
      </c>
      <c r="K212">
        <v>191</v>
      </c>
      <c r="M212">
        <f t="shared" si="9"/>
        <v>143.27253615171799</v>
      </c>
      <c r="N212">
        <f t="shared" si="10"/>
        <v>47.727463848282014</v>
      </c>
      <c r="O212">
        <f t="shared" si="11"/>
        <v>2277.9108053890664</v>
      </c>
    </row>
    <row r="213" spans="1:15" x14ac:dyDescent="0.25">
      <c r="A213">
        <v>9.2563983198714325E-2</v>
      </c>
      <c r="B213">
        <v>-4.4641636506989137E-2</v>
      </c>
      <c r="C213">
        <v>3.6906528819424897E-2</v>
      </c>
      <c r="D213">
        <v>2.18723855140367E-2</v>
      </c>
      <c r="E213">
        <v>-2.4960158409630302E-2</v>
      </c>
      <c r="F213">
        <v>-1.6658152053905941E-2</v>
      </c>
      <c r="G213">
        <v>7.7880799701838534E-4</v>
      </c>
      <c r="H213">
        <v>-3.9493382874093291E-2</v>
      </c>
      <c r="I213">
        <v>-2.2516528376302171E-2</v>
      </c>
      <c r="J213">
        <v>-2.1788232074638241E-2</v>
      </c>
      <c r="K213">
        <v>70</v>
      </c>
      <c r="M213">
        <f t="shared" si="9"/>
        <v>164.81173755273636</v>
      </c>
      <c r="N213">
        <f t="shared" si="10"/>
        <v>-94.811737552736361</v>
      </c>
      <c r="O213">
        <f t="shared" si="11"/>
        <v>8989.2655777689579</v>
      </c>
    </row>
    <row r="214" spans="1:15" x14ac:dyDescent="0.25">
      <c r="A214">
        <v>6.7136214041578379E-2</v>
      </c>
      <c r="B214">
        <v>-4.4641636506989137E-2</v>
      </c>
      <c r="C214">
        <v>3.494354529120097E-3</v>
      </c>
      <c r="D214">
        <v>3.5643789417433749E-2</v>
      </c>
      <c r="E214">
        <v>4.9341295933230229E-2</v>
      </c>
      <c r="F214">
        <v>3.1253562599892912E-2</v>
      </c>
      <c r="G214">
        <v>7.0729926274670271E-2</v>
      </c>
      <c r="H214">
        <v>-3.9493382874093291E-2</v>
      </c>
      <c r="I214">
        <v>-6.1173530456262162E-4</v>
      </c>
      <c r="J214">
        <v>1.9632837073706309E-2</v>
      </c>
      <c r="K214">
        <v>73</v>
      </c>
      <c r="M214">
        <f t="shared" si="9"/>
        <v>161.00367516041564</v>
      </c>
      <c r="N214">
        <f t="shared" si="10"/>
        <v>-88.003675160415639</v>
      </c>
      <c r="O214">
        <f t="shared" si="11"/>
        <v>7744.6468417399565</v>
      </c>
    </row>
    <row r="215" spans="1:15" x14ac:dyDescent="0.25">
      <c r="A215">
        <v>1.750521923228816E-3</v>
      </c>
      <c r="B215">
        <v>-4.4641636506989137E-2</v>
      </c>
      <c r="C215">
        <v>-7.0874678568655064E-2</v>
      </c>
      <c r="D215">
        <v>-2.2884677172003699E-2</v>
      </c>
      <c r="E215">
        <v>-1.568959820211247E-3</v>
      </c>
      <c r="F215">
        <v>-1.000728964429191E-3</v>
      </c>
      <c r="G215">
        <v>2.655027262562697E-2</v>
      </c>
      <c r="H215">
        <v>-3.9493382874093291E-2</v>
      </c>
      <c r="I215">
        <v>-2.2516528376302171E-2</v>
      </c>
      <c r="J215">
        <v>7.206516329202944E-3</v>
      </c>
      <c r="K215">
        <v>49</v>
      </c>
      <c r="M215">
        <f t="shared" si="9"/>
        <v>91.104119744778274</v>
      </c>
      <c r="N215">
        <f t="shared" si="10"/>
        <v>-42.104119744778274</v>
      </c>
      <c r="O215">
        <f t="shared" si="11"/>
        <v>1772.7568994826277</v>
      </c>
    </row>
    <row r="216" spans="1:15" x14ac:dyDescent="0.25">
      <c r="A216">
        <v>3.0810829531384181E-2</v>
      </c>
      <c r="B216">
        <v>-4.4641636506989137E-2</v>
      </c>
      <c r="C216">
        <v>-3.3151255982827067E-2</v>
      </c>
      <c r="D216">
        <v>-2.2884677172003699E-2</v>
      </c>
      <c r="E216">
        <v>-4.6975404140848227E-2</v>
      </c>
      <c r="F216">
        <v>-8.1166735182550118E-2</v>
      </c>
      <c r="G216">
        <v>0.10386466651145269</v>
      </c>
      <c r="H216">
        <v>-7.6394503750003298E-2</v>
      </c>
      <c r="I216">
        <v>-3.9808826527400823E-2</v>
      </c>
      <c r="J216">
        <v>-5.4925087393313893E-2</v>
      </c>
      <c r="K216">
        <v>65</v>
      </c>
      <c r="M216">
        <f t="shared" si="9"/>
        <v>100.10687860342607</v>
      </c>
      <c r="N216">
        <f t="shared" si="10"/>
        <v>-35.106878603426068</v>
      </c>
      <c r="O216">
        <f t="shared" si="11"/>
        <v>1232.4929252756951</v>
      </c>
    </row>
    <row r="217" spans="1:15" x14ac:dyDescent="0.25">
      <c r="A217">
        <v>2.717829108036476E-2</v>
      </c>
      <c r="B217">
        <v>5.0680118739818619E-2</v>
      </c>
      <c r="C217">
        <v>9.4030568735107276E-2</v>
      </c>
      <c r="D217">
        <v>9.7615106982720454E-2</v>
      </c>
      <c r="E217">
        <v>-3.4591828417038152E-2</v>
      </c>
      <c r="F217">
        <v>-3.2002426681593137E-2</v>
      </c>
      <c r="G217">
        <v>-4.3400845652024907E-2</v>
      </c>
      <c r="H217">
        <v>-2.592261998183278E-3</v>
      </c>
      <c r="I217">
        <v>3.6643732562353669E-2</v>
      </c>
      <c r="J217">
        <v>0.1066170822852299</v>
      </c>
      <c r="K217">
        <v>263</v>
      </c>
      <c r="M217">
        <f t="shared" si="9"/>
        <v>253.76320035238547</v>
      </c>
      <c r="N217">
        <f t="shared" si="10"/>
        <v>9.2367996476145322</v>
      </c>
      <c r="O217">
        <f t="shared" si="11"/>
        <v>85.318467730171946</v>
      </c>
    </row>
    <row r="218" spans="1:15" x14ac:dyDescent="0.25">
      <c r="A218">
        <v>1.264813727628708E-2</v>
      </c>
      <c r="B218">
        <v>5.0680118739818619E-2</v>
      </c>
      <c r="C218">
        <v>3.5828716745544088E-2</v>
      </c>
      <c r="D218">
        <v>4.9415193320830803E-2</v>
      </c>
      <c r="E218">
        <v>5.3469154507833593E-2</v>
      </c>
      <c r="F218">
        <v>7.4154901865059214E-2</v>
      </c>
      <c r="G218">
        <v>-6.9172310280633503E-2</v>
      </c>
      <c r="H218">
        <v>0.14501222150545681</v>
      </c>
      <c r="I218">
        <v>4.5604369927946697E-2</v>
      </c>
      <c r="J218">
        <v>4.8627585477547502E-2</v>
      </c>
      <c r="K218">
        <v>248</v>
      </c>
      <c r="M218">
        <f t="shared" si="9"/>
        <v>219.91906552799355</v>
      </c>
      <c r="N218">
        <f t="shared" si="10"/>
        <v>28.080934472006447</v>
      </c>
      <c r="O218">
        <f t="shared" si="11"/>
        <v>788.53888082111996</v>
      </c>
    </row>
    <row r="219" spans="1:15" x14ac:dyDescent="0.25">
      <c r="A219">
        <v>7.4401290943617221E-2</v>
      </c>
      <c r="B219">
        <v>-4.4641636506989137E-2</v>
      </c>
      <c r="C219">
        <v>3.1517468450020902E-2</v>
      </c>
      <c r="D219">
        <v>0.1010579579585697</v>
      </c>
      <c r="E219">
        <v>4.6589390216827987E-2</v>
      </c>
      <c r="F219">
        <v>3.6890234912104539E-2</v>
      </c>
      <c r="G219">
        <v>1.5505359213366149E-2</v>
      </c>
      <c r="H219">
        <v>-2.592261998183278E-3</v>
      </c>
      <c r="I219">
        <v>3.3653814906286023E-2</v>
      </c>
      <c r="J219">
        <v>4.4485478562713038E-2</v>
      </c>
      <c r="K219">
        <v>296</v>
      </c>
      <c r="M219">
        <f t="shared" si="9"/>
        <v>214.59824951171976</v>
      </c>
      <c r="N219">
        <f t="shared" si="10"/>
        <v>81.401750488280243</v>
      </c>
      <c r="O219">
        <f t="shared" si="11"/>
        <v>6626.2449825562326</v>
      </c>
    </row>
    <row r="220" spans="1:15" x14ac:dyDescent="0.25">
      <c r="A220">
        <v>-4.1839939489004233E-2</v>
      </c>
      <c r="B220">
        <v>-4.4641636506989137E-2</v>
      </c>
      <c r="C220">
        <v>-6.5485618199251056E-2</v>
      </c>
      <c r="D220">
        <v>-4.0098932051250001E-2</v>
      </c>
      <c r="E220">
        <v>-5.6968183948146092E-3</v>
      </c>
      <c r="F220">
        <v>1.4343545663258021E-2</v>
      </c>
      <c r="G220">
        <v>-4.3400845652024907E-2</v>
      </c>
      <c r="H220">
        <v>3.4308858877726729E-2</v>
      </c>
      <c r="I220">
        <v>7.0271396825858611E-3</v>
      </c>
      <c r="J220">
        <v>-1.350401824496934E-2</v>
      </c>
      <c r="K220">
        <v>214</v>
      </c>
      <c r="M220">
        <f t="shared" si="9"/>
        <v>108.85740846745291</v>
      </c>
      <c r="N220">
        <f t="shared" si="10"/>
        <v>105.14259153254709</v>
      </c>
      <c r="O220">
        <f t="shared" si="11"/>
        <v>11054.964554180042</v>
      </c>
    </row>
    <row r="221" spans="1:15" x14ac:dyDescent="0.25">
      <c r="A221">
        <v>-8.9062939352256704E-2</v>
      </c>
      <c r="B221">
        <v>-4.4641636506989137E-2</v>
      </c>
      <c r="C221">
        <v>-4.1773752573873467E-2</v>
      </c>
      <c r="D221">
        <v>-1.9441826196154439E-2</v>
      </c>
      <c r="E221">
        <v>-6.6238744155663928E-2</v>
      </c>
      <c r="F221">
        <v>-7.4277469023180359E-2</v>
      </c>
      <c r="G221">
        <v>8.1420836051922674E-3</v>
      </c>
      <c r="H221">
        <v>-3.9493382874093291E-2</v>
      </c>
      <c r="I221">
        <v>1.147575999160146E-3</v>
      </c>
      <c r="J221">
        <v>-3.007244590430716E-2</v>
      </c>
      <c r="K221">
        <v>185</v>
      </c>
      <c r="M221">
        <f t="shared" si="9"/>
        <v>119.59227934489272</v>
      </c>
      <c r="N221">
        <f t="shared" si="10"/>
        <v>65.407720655107283</v>
      </c>
      <c r="O221">
        <f t="shared" si="11"/>
        <v>4278.1699212965477</v>
      </c>
    </row>
    <row r="222" spans="1:15" x14ac:dyDescent="0.25">
      <c r="A222">
        <v>2.3545752629345339E-2</v>
      </c>
      <c r="B222">
        <v>5.0680118739818619E-2</v>
      </c>
      <c r="C222">
        <v>-3.9618128426111877E-2</v>
      </c>
      <c r="D222">
        <v>-5.67042229275739E-3</v>
      </c>
      <c r="E222">
        <v>-4.8351356999049362E-2</v>
      </c>
      <c r="F222">
        <v>-3.3255020528751282E-2</v>
      </c>
      <c r="G222">
        <v>1.182372140927921E-2</v>
      </c>
      <c r="H222">
        <v>-3.9493382874093291E-2</v>
      </c>
      <c r="I222">
        <v>-0.10163995903077561</v>
      </c>
      <c r="J222">
        <v>-6.7351408137817259E-2</v>
      </c>
      <c r="K222">
        <v>78</v>
      </c>
      <c r="M222">
        <f t="shared" si="9"/>
        <v>72.169055109825948</v>
      </c>
      <c r="N222">
        <f t="shared" si="10"/>
        <v>5.8309448901740524</v>
      </c>
      <c r="O222">
        <f t="shared" si="11"/>
        <v>33.999918312246891</v>
      </c>
    </row>
    <row r="223" spans="1:15" x14ac:dyDescent="0.25">
      <c r="A223">
        <v>-4.5472477940023653E-2</v>
      </c>
      <c r="B223">
        <v>-4.4641636506989137E-2</v>
      </c>
      <c r="C223">
        <v>-3.8540316352231069E-2</v>
      </c>
      <c r="D223">
        <v>-2.6327528147852958E-2</v>
      </c>
      <c r="E223">
        <v>-1.5328488402222449E-2</v>
      </c>
      <c r="F223">
        <v>8.7816180630802309E-4</v>
      </c>
      <c r="G223">
        <v>-3.2355932239764087E-2</v>
      </c>
      <c r="H223">
        <v>-2.592261998183278E-3</v>
      </c>
      <c r="I223">
        <v>1.147575999160146E-3</v>
      </c>
      <c r="J223">
        <v>-3.8356659733976069E-2</v>
      </c>
      <c r="K223">
        <v>93</v>
      </c>
      <c r="M223">
        <f t="shared" si="9"/>
        <v>121.95766878997195</v>
      </c>
      <c r="N223">
        <f t="shared" si="10"/>
        <v>-28.957668789971947</v>
      </c>
      <c r="O223">
        <f t="shared" si="11"/>
        <v>838.54658174971541</v>
      </c>
    </row>
    <row r="224" spans="1:15" x14ac:dyDescent="0.25">
      <c r="A224">
        <v>-2.3677247233907128E-2</v>
      </c>
      <c r="B224">
        <v>5.0680118739818619E-2</v>
      </c>
      <c r="C224">
        <v>-2.560657146566148E-2</v>
      </c>
      <c r="D224">
        <v>4.2529491369132269E-2</v>
      </c>
      <c r="E224">
        <v>-5.3855168431853832E-2</v>
      </c>
      <c r="F224">
        <v>-4.7659849771069893E-2</v>
      </c>
      <c r="G224">
        <v>-2.1311018827503261E-2</v>
      </c>
      <c r="H224">
        <v>-3.9493382874093291E-2</v>
      </c>
      <c r="I224">
        <v>1.147575999160146E-3</v>
      </c>
      <c r="J224">
        <v>1.9632837073706309E-2</v>
      </c>
      <c r="K224">
        <v>252</v>
      </c>
      <c r="M224">
        <f t="shared" si="9"/>
        <v>146.61969682236364</v>
      </c>
      <c r="N224">
        <f t="shared" si="10"/>
        <v>105.38030317763636</v>
      </c>
      <c r="O224">
        <f t="shared" si="11"/>
        <v>11105.008297810557</v>
      </c>
    </row>
    <row r="225" spans="1:15" x14ac:dyDescent="0.25">
      <c r="A225">
        <v>-9.9960554705314952E-2</v>
      </c>
      <c r="B225">
        <v>-4.4641636506989137E-2</v>
      </c>
      <c r="C225">
        <v>-2.345094731789989E-2</v>
      </c>
      <c r="D225">
        <v>-6.4198888882194827E-2</v>
      </c>
      <c r="E225">
        <v>-5.7983027006457202E-2</v>
      </c>
      <c r="F225">
        <v>-6.0185788242651278E-2</v>
      </c>
      <c r="G225">
        <v>1.182372140927921E-2</v>
      </c>
      <c r="H225">
        <v>-3.9493382874093291E-2</v>
      </c>
      <c r="I225">
        <v>-1.8113692315690318E-2</v>
      </c>
      <c r="J225">
        <v>-5.0782980478479442E-2</v>
      </c>
      <c r="K225">
        <v>150</v>
      </c>
      <c r="M225">
        <f t="shared" si="9"/>
        <v>108.54884456119476</v>
      </c>
      <c r="N225">
        <f t="shared" si="10"/>
        <v>41.451155438805245</v>
      </c>
      <c r="O225">
        <f t="shared" si="11"/>
        <v>1718.1982872119936</v>
      </c>
    </row>
    <row r="226" spans="1:15" x14ac:dyDescent="0.25">
      <c r="A226">
        <v>-2.7309785684926549E-2</v>
      </c>
      <c r="B226">
        <v>-4.4641636506989137E-2</v>
      </c>
      <c r="C226">
        <v>-6.6563430273131885E-2</v>
      </c>
      <c r="D226">
        <v>-0.11239880254408451</v>
      </c>
      <c r="E226">
        <v>-4.9727309857250483E-2</v>
      </c>
      <c r="F226">
        <v>-4.1396880535279193E-2</v>
      </c>
      <c r="G226">
        <v>7.7880799701838534E-4</v>
      </c>
      <c r="H226">
        <v>-3.9493382874093291E-2</v>
      </c>
      <c r="I226">
        <v>-3.5816192584237301E-2</v>
      </c>
      <c r="J226">
        <v>-9.3619113301348783E-3</v>
      </c>
      <c r="K226">
        <v>77</v>
      </c>
      <c r="M226">
        <f t="shared" si="9"/>
        <v>63.409081159669597</v>
      </c>
      <c r="N226">
        <f t="shared" si="10"/>
        <v>13.590918840330403</v>
      </c>
      <c r="O226">
        <f t="shared" si="11"/>
        <v>184.71307492444791</v>
      </c>
    </row>
    <row r="227" spans="1:15" x14ac:dyDescent="0.25">
      <c r="A227">
        <v>3.0810829531384181E-2</v>
      </c>
      <c r="B227">
        <v>5.0680118739818619E-2</v>
      </c>
      <c r="C227">
        <v>3.2595280523901683E-2</v>
      </c>
      <c r="D227">
        <v>4.9415193320830803E-2</v>
      </c>
      <c r="E227">
        <v>-4.0095639849842629E-2</v>
      </c>
      <c r="F227">
        <v>-4.3588919767805941E-2</v>
      </c>
      <c r="G227">
        <v>-6.9172310280633503E-2</v>
      </c>
      <c r="H227">
        <v>3.4308858877726729E-2</v>
      </c>
      <c r="I227">
        <v>6.3015170912974816E-2</v>
      </c>
      <c r="J227">
        <v>3.064409414368488E-3</v>
      </c>
      <c r="K227">
        <v>208</v>
      </c>
      <c r="M227">
        <f t="shared" si="9"/>
        <v>217.68700251905648</v>
      </c>
      <c r="N227">
        <f t="shared" si="10"/>
        <v>-9.6870025190564775</v>
      </c>
      <c r="O227">
        <f t="shared" si="11"/>
        <v>93.838017804206544</v>
      </c>
    </row>
    <row r="228" spans="1:15" x14ac:dyDescent="0.25">
      <c r="A228">
        <v>-0.1035930931563344</v>
      </c>
      <c r="B228">
        <v>5.0680118739818619E-2</v>
      </c>
      <c r="C228">
        <v>-4.608500086939666E-2</v>
      </c>
      <c r="D228">
        <v>-2.6327528147852958E-2</v>
      </c>
      <c r="E228">
        <v>-2.4960158409630302E-2</v>
      </c>
      <c r="F228">
        <v>-2.4800012060433849E-2</v>
      </c>
      <c r="G228">
        <v>3.0231910429713921E-2</v>
      </c>
      <c r="H228">
        <v>-3.9493382874093291E-2</v>
      </c>
      <c r="I228">
        <v>-3.9808826527400823E-2</v>
      </c>
      <c r="J228">
        <v>-5.4925087393313893E-2</v>
      </c>
      <c r="K228">
        <v>77</v>
      </c>
      <c r="M228">
        <f t="shared" si="9"/>
        <v>94.160709078907473</v>
      </c>
      <c r="N228">
        <f t="shared" si="10"/>
        <v>-17.160709078907473</v>
      </c>
      <c r="O228">
        <f t="shared" si="11"/>
        <v>294.4899360908974</v>
      </c>
    </row>
    <row r="229" spans="1:15" x14ac:dyDescent="0.25">
      <c r="A229">
        <v>6.7136214041578379E-2</v>
      </c>
      <c r="B229">
        <v>5.0680118739818619E-2</v>
      </c>
      <c r="C229">
        <v>-2.9917819761184659E-2</v>
      </c>
      <c r="D229">
        <v>5.7437036094559572E-2</v>
      </c>
      <c r="E229">
        <v>-1.9300696201012601E-4</v>
      </c>
      <c r="F229">
        <v>-1.5718706668537322E-2</v>
      </c>
      <c r="G229">
        <v>7.4411564078757209E-2</v>
      </c>
      <c r="H229">
        <v>-5.0563719136866282E-2</v>
      </c>
      <c r="I229">
        <v>-3.8459717341126382E-2</v>
      </c>
      <c r="J229">
        <v>7.206516329202944E-3</v>
      </c>
      <c r="K229">
        <v>108</v>
      </c>
      <c r="M229">
        <f t="shared" si="9"/>
        <v>127.1204714345387</v>
      </c>
      <c r="N229">
        <f t="shared" si="10"/>
        <v>-19.1204714345387</v>
      </c>
      <c r="O229">
        <f t="shared" si="11"/>
        <v>365.59242787901042</v>
      </c>
    </row>
    <row r="230" spans="1:15" x14ac:dyDescent="0.25">
      <c r="A230">
        <v>-5.2737554842062502E-2</v>
      </c>
      <c r="B230">
        <v>-4.4641636506989137E-2</v>
      </c>
      <c r="C230">
        <v>-1.2672826579091899E-2</v>
      </c>
      <c r="D230">
        <v>-6.0756037906345567E-2</v>
      </c>
      <c r="E230">
        <v>-1.9300696201012601E-4</v>
      </c>
      <c r="F230">
        <v>8.0805764274673158E-3</v>
      </c>
      <c r="G230">
        <v>1.182372140927921E-2</v>
      </c>
      <c r="H230">
        <v>-2.592261998183278E-3</v>
      </c>
      <c r="I230">
        <v>-2.712902329694316E-2</v>
      </c>
      <c r="J230">
        <v>-5.0782980478479442E-2</v>
      </c>
      <c r="K230">
        <v>160</v>
      </c>
      <c r="M230">
        <f t="shared" si="9"/>
        <v>113.78019398512745</v>
      </c>
      <c r="N230">
        <f t="shared" si="10"/>
        <v>46.219806014872546</v>
      </c>
      <c r="O230">
        <f t="shared" si="11"/>
        <v>2136.2704680524485</v>
      </c>
    </row>
    <row r="231" spans="1:15" x14ac:dyDescent="0.25">
      <c r="A231">
        <v>-2.7309785684926549E-2</v>
      </c>
      <c r="B231">
        <v>5.0680118739818619E-2</v>
      </c>
      <c r="C231">
        <v>-1.5906262800734299E-2</v>
      </c>
      <c r="D231">
        <v>-2.9770379123702222E-2</v>
      </c>
      <c r="E231">
        <v>3.934851612593237E-3</v>
      </c>
      <c r="F231">
        <v>-6.875805026396515E-4</v>
      </c>
      <c r="G231">
        <v>4.1276823841974737E-2</v>
      </c>
      <c r="H231">
        <v>-3.9493382874093291E-2</v>
      </c>
      <c r="I231">
        <v>-2.3646863099937548E-2</v>
      </c>
      <c r="J231">
        <v>1.13486232440374E-2</v>
      </c>
      <c r="K231">
        <v>53</v>
      </c>
      <c r="M231">
        <f t="shared" si="9"/>
        <v>121.07327056939414</v>
      </c>
      <c r="N231">
        <f t="shared" si="10"/>
        <v>-68.07327056939414</v>
      </c>
      <c r="O231">
        <f t="shared" si="11"/>
        <v>4633.9701660139426</v>
      </c>
    </row>
    <row r="232" spans="1:15" x14ac:dyDescent="0.25">
      <c r="A232">
        <v>-3.8207401037984812E-2</v>
      </c>
      <c r="B232">
        <v>5.0680118739818619E-2</v>
      </c>
      <c r="C232">
        <v>7.1396515183610482E-2</v>
      </c>
      <c r="D232">
        <v>-5.7313186930496307E-2</v>
      </c>
      <c r="E232">
        <v>0.15391371315651539</v>
      </c>
      <c r="F232">
        <v>0.15588665039212779</v>
      </c>
      <c r="G232">
        <v>7.7880799701838534E-4</v>
      </c>
      <c r="H232">
        <v>7.1948002171154934E-2</v>
      </c>
      <c r="I232">
        <v>5.0280674066857337E-2</v>
      </c>
      <c r="J232">
        <v>6.9338120051719784E-2</v>
      </c>
      <c r="K232">
        <v>220</v>
      </c>
      <c r="M232">
        <f t="shared" si="9"/>
        <v>211.21980164822878</v>
      </c>
      <c r="N232">
        <f t="shared" si="10"/>
        <v>8.7801983517712188</v>
      </c>
      <c r="O232">
        <f t="shared" si="11"/>
        <v>77.091883096446026</v>
      </c>
    </row>
    <row r="233" spans="1:15" x14ac:dyDescent="0.25">
      <c r="A233">
        <v>9.0155988252676577E-3</v>
      </c>
      <c r="B233">
        <v>-4.4641636506989137E-2</v>
      </c>
      <c r="C233">
        <v>-3.0995631835065481E-2</v>
      </c>
      <c r="D233">
        <v>2.18723855140367E-2</v>
      </c>
      <c r="E233">
        <v>8.0627101871965992E-3</v>
      </c>
      <c r="F233">
        <v>8.7068733510463955E-3</v>
      </c>
      <c r="G233">
        <v>4.4604458011053274E-3</v>
      </c>
      <c r="H233">
        <v>-2.592261998183278E-3</v>
      </c>
      <c r="I233">
        <v>9.4336587716159874E-3</v>
      </c>
      <c r="J233">
        <v>1.13486232440374E-2</v>
      </c>
      <c r="K233">
        <v>154</v>
      </c>
      <c r="M233">
        <f t="shared" si="9"/>
        <v>144.50177598925089</v>
      </c>
      <c r="N233">
        <f t="shared" si="10"/>
        <v>9.4982240107491123</v>
      </c>
      <c r="O233">
        <f t="shared" si="11"/>
        <v>90.216259358370948</v>
      </c>
    </row>
    <row r="234" spans="1:15" x14ac:dyDescent="0.25">
      <c r="A234">
        <v>1.264813727628708E-2</v>
      </c>
      <c r="B234">
        <v>5.0680118739818619E-2</v>
      </c>
      <c r="C234">
        <v>2.6091830747769078E-4</v>
      </c>
      <c r="D234">
        <v>-1.141998342242566E-2</v>
      </c>
      <c r="E234">
        <v>3.9709625925822382E-2</v>
      </c>
      <c r="F234">
        <v>5.7244884928424312E-2</v>
      </c>
      <c r="G234">
        <v>-3.9719207847937969E-2</v>
      </c>
      <c r="H234">
        <v>5.6080520194513643E-2</v>
      </c>
      <c r="I234">
        <v>2.4055085357995651E-2</v>
      </c>
      <c r="J234">
        <v>3.2059157818209678E-2</v>
      </c>
      <c r="K234">
        <v>259</v>
      </c>
      <c r="M234">
        <f t="shared" si="9"/>
        <v>166.12632765842568</v>
      </c>
      <c r="N234">
        <f t="shared" si="10"/>
        <v>92.87367234157432</v>
      </c>
      <c r="O234">
        <f t="shared" si="11"/>
        <v>8625.5190142101073</v>
      </c>
    </row>
    <row r="235" spans="1:15" x14ac:dyDescent="0.25">
      <c r="A235">
        <v>6.7136214041578379E-2</v>
      </c>
      <c r="B235">
        <v>-4.4641636506989137E-2</v>
      </c>
      <c r="C235">
        <v>3.6906528819424897E-2</v>
      </c>
      <c r="D235">
        <v>-5.0427484978797787E-2</v>
      </c>
      <c r="E235">
        <v>-2.3584205551429181E-2</v>
      </c>
      <c r="F235">
        <v>-3.4507614375909407E-2</v>
      </c>
      <c r="G235">
        <v>4.8640099450148619E-2</v>
      </c>
      <c r="H235">
        <v>-3.9493382874093291E-2</v>
      </c>
      <c r="I235">
        <v>-2.5953110560258001E-2</v>
      </c>
      <c r="J235">
        <v>-3.8356659733976069E-2</v>
      </c>
      <c r="K235">
        <v>90</v>
      </c>
      <c r="M235">
        <f t="shared" si="9"/>
        <v>143.93138105515533</v>
      </c>
      <c r="N235">
        <f t="shared" si="10"/>
        <v>-53.931381055155327</v>
      </c>
      <c r="O235">
        <f t="shared" si="11"/>
        <v>2908.5938625163672</v>
      </c>
    </row>
    <row r="236" spans="1:15" x14ac:dyDescent="0.25">
      <c r="A236">
        <v>4.5340983335461861E-2</v>
      </c>
      <c r="B236">
        <v>-4.4641636506989137E-2</v>
      </c>
      <c r="C236">
        <v>3.9062152967186493E-2</v>
      </c>
      <c r="D236">
        <v>4.5972342344981529E-2</v>
      </c>
      <c r="E236">
        <v>6.6867573289954782E-3</v>
      </c>
      <c r="F236">
        <v>-2.4173715136854769E-2</v>
      </c>
      <c r="G236">
        <v>8.1420836051922674E-3</v>
      </c>
      <c r="H236">
        <v>-1.2555564634678979E-2</v>
      </c>
      <c r="I236">
        <v>6.4327817688809422E-2</v>
      </c>
      <c r="J236">
        <v>5.6911799307216418E-2</v>
      </c>
      <c r="K236">
        <v>246</v>
      </c>
      <c r="M236">
        <f t="shared" si="9"/>
        <v>219.75931751324367</v>
      </c>
      <c r="N236">
        <f t="shared" si="10"/>
        <v>26.240682486756327</v>
      </c>
      <c r="O236">
        <f t="shared" si="11"/>
        <v>688.57341737076024</v>
      </c>
    </row>
    <row r="237" spans="1:15" x14ac:dyDescent="0.25">
      <c r="A237">
        <v>6.7136214041578379E-2</v>
      </c>
      <c r="B237">
        <v>5.0680118739818619E-2</v>
      </c>
      <c r="C237">
        <v>-1.4828450726853491E-2</v>
      </c>
      <c r="D237">
        <v>5.8607605426348332E-2</v>
      </c>
      <c r="E237">
        <v>-5.9358979864658323E-2</v>
      </c>
      <c r="F237">
        <v>-3.4507614375909407E-2</v>
      </c>
      <c r="G237">
        <v>-6.1809034672459622E-2</v>
      </c>
      <c r="H237">
        <v>1.290620876969892E-2</v>
      </c>
      <c r="I237">
        <v>-5.1421898017138907E-3</v>
      </c>
      <c r="J237">
        <v>4.8627585477547502E-2</v>
      </c>
      <c r="K237">
        <v>124</v>
      </c>
      <c r="M237">
        <f t="shared" si="9"/>
        <v>158.44122428832375</v>
      </c>
      <c r="N237">
        <f t="shared" si="10"/>
        <v>-34.441224288323752</v>
      </c>
      <c r="O237">
        <f t="shared" si="11"/>
        <v>1186.1979304786221</v>
      </c>
    </row>
    <row r="238" spans="1:15" x14ac:dyDescent="0.25">
      <c r="A238">
        <v>2.717829108036476E-2</v>
      </c>
      <c r="B238">
        <v>-4.4641636506989137E-2</v>
      </c>
      <c r="C238">
        <v>6.7277907507625042E-3</v>
      </c>
      <c r="D238">
        <v>3.5643789417433749E-2</v>
      </c>
      <c r="E238">
        <v>7.9612258813654885E-2</v>
      </c>
      <c r="F238">
        <v>7.07102687853743E-2</v>
      </c>
      <c r="G238">
        <v>1.5505359213366149E-2</v>
      </c>
      <c r="H238">
        <v>3.4308858877726729E-2</v>
      </c>
      <c r="I238">
        <v>4.0672828915957041E-2</v>
      </c>
      <c r="J238">
        <v>1.13486232440374E-2</v>
      </c>
      <c r="K238">
        <v>67</v>
      </c>
      <c r="M238">
        <f t="shared" si="9"/>
        <v>188.16147027475722</v>
      </c>
      <c r="N238">
        <f t="shared" si="10"/>
        <v>-121.16147027475722</v>
      </c>
      <c r="O238">
        <f t="shared" si="11"/>
        <v>14680.101879140877</v>
      </c>
    </row>
    <row r="239" spans="1:15" x14ac:dyDescent="0.25">
      <c r="A239">
        <v>5.6238598688520117E-2</v>
      </c>
      <c r="B239">
        <v>-4.4641636506989137E-2</v>
      </c>
      <c r="C239">
        <v>-6.8719054420893474E-2</v>
      </c>
      <c r="D239">
        <v>-6.8777880680074344E-2</v>
      </c>
      <c r="E239">
        <v>-1.9300696201012601E-4</v>
      </c>
      <c r="F239">
        <v>-1.000728964429191E-3</v>
      </c>
      <c r="G239">
        <v>4.4958461646061681E-2</v>
      </c>
      <c r="H239">
        <v>-3.7648326830297792E-2</v>
      </c>
      <c r="I239">
        <v>-4.8359261775545531E-2</v>
      </c>
      <c r="J239">
        <v>-1.0776975004659669E-3</v>
      </c>
      <c r="K239">
        <v>72</v>
      </c>
      <c r="M239">
        <f t="shared" si="9"/>
        <v>67.556879520445477</v>
      </c>
      <c r="N239">
        <f t="shared" si="10"/>
        <v>4.4431204795545227</v>
      </c>
      <c r="O239">
        <f t="shared" si="11"/>
        <v>19.741319595836814</v>
      </c>
    </row>
    <row r="240" spans="1:15" x14ac:dyDescent="0.25">
      <c r="A240">
        <v>3.4443367982403598E-2</v>
      </c>
      <c r="B240">
        <v>5.0680118739818619E-2</v>
      </c>
      <c r="C240">
        <v>-9.4393903574494908E-3</v>
      </c>
      <c r="D240">
        <v>5.9743746248378582E-2</v>
      </c>
      <c r="E240">
        <v>-3.5967781275239273E-2</v>
      </c>
      <c r="F240">
        <v>-7.5768466620094281E-3</v>
      </c>
      <c r="G240">
        <v>-7.6535585888807392E-2</v>
      </c>
      <c r="H240">
        <v>7.1209979753636743E-2</v>
      </c>
      <c r="I240">
        <v>1.101065802313945E-2</v>
      </c>
      <c r="J240">
        <v>-2.1788232074638241E-2</v>
      </c>
      <c r="K240">
        <v>257</v>
      </c>
      <c r="M240">
        <f t="shared" si="9"/>
        <v>171.63953762133434</v>
      </c>
      <c r="N240">
        <f t="shared" si="10"/>
        <v>85.360462378665659</v>
      </c>
      <c r="O240">
        <f t="shared" si="11"/>
        <v>7286.4085374995957</v>
      </c>
    </row>
    <row r="241" spans="1:15" x14ac:dyDescent="0.25">
      <c r="A241">
        <v>2.3545752629345339E-2</v>
      </c>
      <c r="B241">
        <v>-4.4641636506989137E-2</v>
      </c>
      <c r="C241">
        <v>1.9661535637332091E-2</v>
      </c>
      <c r="D241">
        <v>-1.255612424445591E-2</v>
      </c>
      <c r="E241">
        <v>8.3740117388258248E-2</v>
      </c>
      <c r="F241">
        <v>3.8769125682841729E-2</v>
      </c>
      <c r="G241">
        <v>6.3366650666496382E-2</v>
      </c>
      <c r="H241">
        <v>-2.592261998183278E-3</v>
      </c>
      <c r="I241">
        <v>6.6050666582092341E-2</v>
      </c>
      <c r="J241">
        <v>4.8627585477547502E-2</v>
      </c>
      <c r="K241">
        <v>262</v>
      </c>
      <c r="M241">
        <f t="shared" si="9"/>
        <v>194.5793154675431</v>
      </c>
      <c r="N241">
        <f t="shared" si="10"/>
        <v>67.420684532456903</v>
      </c>
      <c r="O241">
        <f t="shared" si="11"/>
        <v>4545.5487028250736</v>
      </c>
    </row>
    <row r="242" spans="1:15" x14ac:dyDescent="0.25">
      <c r="A242">
        <v>4.8973521786481282E-2</v>
      </c>
      <c r="B242">
        <v>5.0680118739818619E-2</v>
      </c>
      <c r="C242">
        <v>7.4629951405252845E-2</v>
      </c>
      <c r="D242">
        <v>6.6629448200077102E-2</v>
      </c>
      <c r="E242">
        <v>-9.8246769694179722E-3</v>
      </c>
      <c r="F242">
        <v>-2.2533228115873259E-3</v>
      </c>
      <c r="G242">
        <v>-4.3400845652024907E-2</v>
      </c>
      <c r="H242">
        <v>3.4308858877726729E-2</v>
      </c>
      <c r="I242">
        <v>3.3653814906286023E-2</v>
      </c>
      <c r="J242">
        <v>1.9632837073706309E-2</v>
      </c>
      <c r="K242">
        <v>275</v>
      </c>
      <c r="M242">
        <f t="shared" si="9"/>
        <v>232.67536218959776</v>
      </c>
      <c r="N242">
        <f t="shared" si="10"/>
        <v>42.324637810402237</v>
      </c>
      <c r="O242">
        <f t="shared" si="11"/>
        <v>1791.3749657817307</v>
      </c>
    </row>
    <row r="243" spans="1:15" x14ac:dyDescent="0.25">
      <c r="A243">
        <v>3.0810829531384181E-2</v>
      </c>
      <c r="B243">
        <v>5.0680118739818619E-2</v>
      </c>
      <c r="C243">
        <v>-8.3615782835686752E-3</v>
      </c>
      <c r="D243">
        <v>4.6581306347903946E-3</v>
      </c>
      <c r="E243">
        <v>1.4942474478202201E-2</v>
      </c>
      <c r="F243">
        <v>2.7495781058418489E-2</v>
      </c>
      <c r="G243">
        <v>8.1420836051922674E-3</v>
      </c>
      <c r="H243">
        <v>-8.1274301295697765E-3</v>
      </c>
      <c r="I243">
        <v>-2.9526426783363261E-2</v>
      </c>
      <c r="J243">
        <v>5.6911799307216418E-2</v>
      </c>
      <c r="K243">
        <v>177</v>
      </c>
      <c r="M243">
        <f t="shared" si="9"/>
        <v>135.03379808215857</v>
      </c>
      <c r="N243">
        <f t="shared" si="10"/>
        <v>41.966201917841431</v>
      </c>
      <c r="O243">
        <f t="shared" si="11"/>
        <v>1761.1621034090379</v>
      </c>
    </row>
    <row r="244" spans="1:15" x14ac:dyDescent="0.25">
      <c r="A244">
        <v>-0.1035930931563344</v>
      </c>
      <c r="B244">
        <v>5.0680118739818619E-2</v>
      </c>
      <c r="C244">
        <v>-2.345094731789989E-2</v>
      </c>
      <c r="D244">
        <v>-2.2884677172003699E-2</v>
      </c>
      <c r="E244">
        <v>-8.687803702868073E-2</v>
      </c>
      <c r="F244">
        <v>-6.7701351325600123E-2</v>
      </c>
      <c r="G244">
        <v>-1.762938102341632E-2</v>
      </c>
      <c r="H244">
        <v>-3.9493382874093291E-2</v>
      </c>
      <c r="I244">
        <v>-7.8139935502292646E-2</v>
      </c>
      <c r="J244">
        <v>-7.149351505265171E-2</v>
      </c>
      <c r="K244">
        <v>71</v>
      </c>
      <c r="M244">
        <f t="shared" si="9"/>
        <v>88.732243459672759</v>
      </c>
      <c r="N244">
        <f t="shared" si="10"/>
        <v>-17.732243459672759</v>
      </c>
      <c r="O244">
        <f t="shared" si="11"/>
        <v>314.43245811310732</v>
      </c>
    </row>
    <row r="245" spans="1:15" x14ac:dyDescent="0.25">
      <c r="A245">
        <v>1.6280675727306501E-2</v>
      </c>
      <c r="B245">
        <v>5.0680118739818619E-2</v>
      </c>
      <c r="C245">
        <v>-4.608500086939666E-2</v>
      </c>
      <c r="D245">
        <v>1.154383258648892E-2</v>
      </c>
      <c r="E245">
        <v>-3.3215875558837017E-2</v>
      </c>
      <c r="F245">
        <v>-1.6031855130326862E-2</v>
      </c>
      <c r="G245">
        <v>-1.026610541524244E-2</v>
      </c>
      <c r="H245">
        <v>-2.592261998183278E-3</v>
      </c>
      <c r="I245">
        <v>-4.3983772522763587E-2</v>
      </c>
      <c r="J245">
        <v>-4.2498766648810533E-2</v>
      </c>
      <c r="K245">
        <v>47</v>
      </c>
      <c r="M245">
        <f t="shared" si="9"/>
        <v>104.76196901664088</v>
      </c>
      <c r="N245">
        <f t="shared" si="10"/>
        <v>-57.761969016640876</v>
      </c>
      <c r="O245">
        <f t="shared" si="11"/>
        <v>3336.4450646793807</v>
      </c>
    </row>
    <row r="246" spans="1:15" x14ac:dyDescent="0.25">
      <c r="A246">
        <v>-6.0002631744101337E-2</v>
      </c>
      <c r="B246">
        <v>5.0680118739818619E-2</v>
      </c>
      <c r="C246">
        <v>5.4151522001517662E-2</v>
      </c>
      <c r="D246">
        <v>-1.9441826196154439E-2</v>
      </c>
      <c r="E246">
        <v>-4.9727309857250483E-2</v>
      </c>
      <c r="F246">
        <v>-4.8912443618228017E-2</v>
      </c>
      <c r="G246">
        <v>2.2868634821540029E-2</v>
      </c>
      <c r="H246">
        <v>-3.9493382874093291E-2</v>
      </c>
      <c r="I246">
        <v>-4.3983772522763587E-2</v>
      </c>
      <c r="J246">
        <v>-5.2198044153004232E-3</v>
      </c>
      <c r="K246">
        <v>187</v>
      </c>
      <c r="M246">
        <f t="shared" si="9"/>
        <v>154.11606313617614</v>
      </c>
      <c r="N246">
        <f t="shared" si="10"/>
        <v>32.883936863823862</v>
      </c>
      <c r="O246">
        <f t="shared" si="11"/>
        <v>1081.353303663954</v>
      </c>
    </row>
    <row r="247" spans="1:15" x14ac:dyDescent="0.25">
      <c r="A247">
        <v>-2.7309785684926549E-2</v>
      </c>
      <c r="B247">
        <v>-4.4641636506989137E-2</v>
      </c>
      <c r="C247">
        <v>-3.5306880130588657E-2</v>
      </c>
      <c r="D247">
        <v>-2.9770379123702222E-2</v>
      </c>
      <c r="E247">
        <v>-5.6607074148256081E-2</v>
      </c>
      <c r="F247">
        <v>-5.8620045933703603E-2</v>
      </c>
      <c r="G247">
        <v>3.0231910429713921E-2</v>
      </c>
      <c r="H247">
        <v>-3.9493382874093291E-2</v>
      </c>
      <c r="I247">
        <v>-4.9872451808799317E-2</v>
      </c>
      <c r="J247">
        <v>-0.12948301186033409</v>
      </c>
      <c r="K247">
        <v>125</v>
      </c>
      <c r="M247">
        <f t="shared" si="9"/>
        <v>92.21067745153492</v>
      </c>
      <c r="N247">
        <f t="shared" si="10"/>
        <v>32.78932254846508</v>
      </c>
      <c r="O247">
        <f t="shared" si="11"/>
        <v>1075.1396731872806</v>
      </c>
    </row>
    <row r="248" spans="1:15" x14ac:dyDescent="0.25">
      <c r="A248">
        <v>4.170844488444244E-2</v>
      </c>
      <c r="B248">
        <v>-4.4641636506989137E-2</v>
      </c>
      <c r="C248">
        <v>-3.20734439089463E-2</v>
      </c>
      <c r="D248">
        <v>-6.1892178728375817E-2</v>
      </c>
      <c r="E248">
        <v>7.9612258813654885E-2</v>
      </c>
      <c r="F248">
        <v>5.0981915692633613E-2</v>
      </c>
      <c r="G248">
        <v>5.6003375058322508E-2</v>
      </c>
      <c r="H248">
        <v>-9.9724861733652866E-3</v>
      </c>
      <c r="I248">
        <v>4.5066549373958868E-2</v>
      </c>
      <c r="J248">
        <v>-5.9067194308148351E-2</v>
      </c>
      <c r="K248">
        <v>78</v>
      </c>
      <c r="M248">
        <f t="shared" si="9"/>
        <v>137.22192840100976</v>
      </c>
      <c r="N248">
        <f t="shared" si="10"/>
        <v>-59.221928401009762</v>
      </c>
      <c r="O248">
        <f t="shared" si="11"/>
        <v>3507.2368035343266</v>
      </c>
    </row>
    <row r="249" spans="1:15" x14ac:dyDescent="0.25">
      <c r="A249">
        <v>-8.1797862450217848E-2</v>
      </c>
      <c r="B249">
        <v>-4.4641636506989137E-2</v>
      </c>
      <c r="C249">
        <v>-8.1652799307463053E-2</v>
      </c>
      <c r="D249">
        <v>-4.0098932051250001E-2</v>
      </c>
      <c r="E249">
        <v>2.558898754392116E-3</v>
      </c>
      <c r="F249">
        <v>-1.8537042824643149E-2</v>
      </c>
      <c r="G249">
        <v>7.0729926274670271E-2</v>
      </c>
      <c r="H249">
        <v>-3.9493382874093291E-2</v>
      </c>
      <c r="I249">
        <v>-1.0903250651210131E-2</v>
      </c>
      <c r="J249">
        <v>-9.2204049626824006E-2</v>
      </c>
      <c r="K249">
        <v>51</v>
      </c>
      <c r="M249">
        <f t="shared" si="9"/>
        <v>82.960070011509941</v>
      </c>
      <c r="N249">
        <f t="shared" si="10"/>
        <v>-31.960070011509941</v>
      </c>
      <c r="O249">
        <f t="shared" si="11"/>
        <v>1021.446075140617</v>
      </c>
    </row>
    <row r="250" spans="1:15" x14ac:dyDescent="0.25">
      <c r="A250">
        <v>-4.1839939489004233E-2</v>
      </c>
      <c r="B250">
        <v>-4.4641636506989137E-2</v>
      </c>
      <c r="C250">
        <v>4.7684649558232893E-2</v>
      </c>
      <c r="D250">
        <v>5.9743746248378582E-2</v>
      </c>
      <c r="E250">
        <v>0.12777060885069411</v>
      </c>
      <c r="F250">
        <v>0.12801643729285919</v>
      </c>
      <c r="G250">
        <v>-2.4992656631590209E-2</v>
      </c>
      <c r="H250">
        <v>0.10811110062954681</v>
      </c>
      <c r="I250">
        <v>6.3890268763531197E-2</v>
      </c>
      <c r="J250">
        <v>4.0343371647878587E-2</v>
      </c>
      <c r="K250">
        <v>258</v>
      </c>
      <c r="M250">
        <f t="shared" si="9"/>
        <v>235.82841787486382</v>
      </c>
      <c r="N250">
        <f t="shared" si="10"/>
        <v>22.171582125136183</v>
      </c>
      <c r="O250">
        <f t="shared" si="11"/>
        <v>491.57905393165828</v>
      </c>
    </row>
    <row r="251" spans="1:15" x14ac:dyDescent="0.25">
      <c r="A251">
        <v>-1.2779631880848869E-2</v>
      </c>
      <c r="B251">
        <v>-4.4641636506989137E-2</v>
      </c>
      <c r="C251">
        <v>6.0618394444802479E-2</v>
      </c>
      <c r="D251">
        <v>5.2858044296680062E-2</v>
      </c>
      <c r="E251">
        <v>4.7965343075029108E-2</v>
      </c>
      <c r="F251">
        <v>2.937467182915568E-2</v>
      </c>
      <c r="G251">
        <v>-1.762938102341632E-2</v>
      </c>
      <c r="H251">
        <v>3.4308858877726729E-2</v>
      </c>
      <c r="I251">
        <v>7.0207381372235131E-2</v>
      </c>
      <c r="J251">
        <v>7.206516329202944E-3</v>
      </c>
      <c r="K251">
        <v>215</v>
      </c>
      <c r="M251">
        <f t="shared" si="9"/>
        <v>238.6815277163517</v>
      </c>
      <c r="N251">
        <f t="shared" si="10"/>
        <v>-23.681527716351695</v>
      </c>
      <c r="O251">
        <f t="shared" si="11"/>
        <v>560.81475498033353</v>
      </c>
    </row>
    <row r="252" spans="1:15" x14ac:dyDescent="0.25">
      <c r="A252">
        <v>6.7136214041578379E-2</v>
      </c>
      <c r="B252">
        <v>-4.4641636506989137E-2</v>
      </c>
      <c r="C252">
        <v>5.63071461492793E-2</v>
      </c>
      <c r="D252">
        <v>7.3515150151775621E-2</v>
      </c>
      <c r="E252">
        <v>-1.395253554402134E-2</v>
      </c>
      <c r="F252">
        <v>-3.9204841302752438E-2</v>
      </c>
      <c r="G252">
        <v>-3.2355932239764087E-2</v>
      </c>
      <c r="H252">
        <v>-2.592261998183278E-3</v>
      </c>
      <c r="I252">
        <v>7.5740552156482274E-2</v>
      </c>
      <c r="J252">
        <v>3.6201264733044143E-2</v>
      </c>
      <c r="K252">
        <v>303</v>
      </c>
      <c r="M252">
        <f t="shared" si="9"/>
        <v>242.64410914237141</v>
      </c>
      <c r="N252">
        <f t="shared" si="10"/>
        <v>60.355890857628594</v>
      </c>
      <c r="O252">
        <f t="shared" si="11"/>
        <v>3642.8335612179749</v>
      </c>
    </row>
    <row r="253" spans="1:15" x14ac:dyDescent="0.25">
      <c r="A253">
        <v>-5.2737554842062502E-2</v>
      </c>
      <c r="B253">
        <v>5.0680118739818619E-2</v>
      </c>
      <c r="C253">
        <v>9.8341817030630468E-2</v>
      </c>
      <c r="D253">
        <v>8.7286554055172674E-2</v>
      </c>
      <c r="E253">
        <v>6.0348918798839191E-2</v>
      </c>
      <c r="F253">
        <v>4.8789876460106851E-2</v>
      </c>
      <c r="G253">
        <v>-5.8127396868372677E-2</v>
      </c>
      <c r="H253">
        <v>0.10811110062954681</v>
      </c>
      <c r="I253">
        <v>8.4491530662046177E-2</v>
      </c>
      <c r="J253">
        <v>4.0343371647878587E-2</v>
      </c>
      <c r="K253">
        <v>243</v>
      </c>
      <c r="M253">
        <f t="shared" si="9"/>
        <v>282.81462868291362</v>
      </c>
      <c r="N253">
        <f t="shared" si="10"/>
        <v>-39.814628682913622</v>
      </c>
      <c r="O253">
        <f t="shared" si="11"/>
        <v>1585.204657158288</v>
      </c>
    </row>
    <row r="254" spans="1:15" x14ac:dyDescent="0.25">
      <c r="A254">
        <v>5.3830603742482368E-3</v>
      </c>
      <c r="B254">
        <v>-4.4641636506989137E-2</v>
      </c>
      <c r="C254">
        <v>5.954058237092167E-2</v>
      </c>
      <c r="D254">
        <v>-5.6177046108466057E-2</v>
      </c>
      <c r="E254">
        <v>2.4574144485610051E-2</v>
      </c>
      <c r="F254">
        <v>5.2860806463370803E-2</v>
      </c>
      <c r="G254">
        <v>-4.3400845652024907E-2</v>
      </c>
      <c r="H254">
        <v>5.0914363271886247E-2</v>
      </c>
      <c r="I254">
        <v>-4.2215139381076502E-3</v>
      </c>
      <c r="J254">
        <v>-3.007244590430716E-2</v>
      </c>
      <c r="K254">
        <v>91</v>
      </c>
      <c r="M254">
        <f t="shared" si="9"/>
        <v>172.90869542975952</v>
      </c>
      <c r="N254">
        <f t="shared" si="10"/>
        <v>-81.908695429759518</v>
      </c>
      <c r="O254">
        <f t="shared" si="11"/>
        <v>6709.0343870051074</v>
      </c>
    </row>
    <row r="255" spans="1:15" x14ac:dyDescent="0.25">
      <c r="A255">
        <v>8.1666367845656063E-2</v>
      </c>
      <c r="B255">
        <v>-4.4641636506989137E-2</v>
      </c>
      <c r="C255">
        <v>3.3673092597782492E-2</v>
      </c>
      <c r="D255">
        <v>8.1009816106396553E-3</v>
      </c>
      <c r="E255">
        <v>5.2093201649632472E-2</v>
      </c>
      <c r="F255">
        <v>5.6618588004845233E-2</v>
      </c>
      <c r="G255">
        <v>-1.762938102341632E-2</v>
      </c>
      <c r="H255">
        <v>3.4308858877726729E-2</v>
      </c>
      <c r="I255">
        <v>3.4866190053411017E-2</v>
      </c>
      <c r="J255">
        <v>6.9338120051719784E-2</v>
      </c>
      <c r="K255">
        <v>150</v>
      </c>
      <c r="M255">
        <f t="shared" si="9"/>
        <v>195.79145577690434</v>
      </c>
      <c r="N255">
        <f t="shared" si="10"/>
        <v>-45.791455776904343</v>
      </c>
      <c r="O255">
        <f t="shared" si="11"/>
        <v>2096.8574221681861</v>
      </c>
    </row>
    <row r="256" spans="1:15" x14ac:dyDescent="0.25">
      <c r="A256">
        <v>3.0810829531384181E-2</v>
      </c>
      <c r="B256">
        <v>5.0680118739818619E-2</v>
      </c>
      <c r="C256">
        <v>5.63071461492793E-2</v>
      </c>
      <c r="D256">
        <v>7.6958001127624881E-2</v>
      </c>
      <c r="E256">
        <v>4.9341295933230229E-2</v>
      </c>
      <c r="F256">
        <v>-1.2274073588852449E-2</v>
      </c>
      <c r="G256">
        <v>-3.6037570043851018E-2</v>
      </c>
      <c r="H256">
        <v>7.1209979753636743E-2</v>
      </c>
      <c r="I256">
        <v>0.1200514964435094</v>
      </c>
      <c r="J256">
        <v>9.0048654625892066E-2</v>
      </c>
      <c r="K256">
        <v>310</v>
      </c>
      <c r="M256">
        <f t="shared" si="9"/>
        <v>272.27749992597671</v>
      </c>
      <c r="N256">
        <f t="shared" si="10"/>
        <v>37.722500074023287</v>
      </c>
      <c r="O256">
        <f t="shared" si="11"/>
        <v>1422.9870118346869</v>
      </c>
    </row>
    <row r="257" spans="1:15" x14ac:dyDescent="0.25">
      <c r="A257">
        <v>1.750521923228816E-3</v>
      </c>
      <c r="B257">
        <v>-4.4641636506989137E-2</v>
      </c>
      <c r="C257">
        <v>-6.5485618199251056E-2</v>
      </c>
      <c r="D257">
        <v>-5.67042229275739E-3</v>
      </c>
      <c r="E257">
        <v>-7.072771253015731E-3</v>
      </c>
      <c r="F257">
        <v>-1.9476488210011741E-2</v>
      </c>
      <c r="G257">
        <v>4.1276823841974737E-2</v>
      </c>
      <c r="H257">
        <v>-3.9493382874093291E-2</v>
      </c>
      <c r="I257">
        <v>-3.3008380745014909E-3</v>
      </c>
      <c r="J257">
        <v>7.206516329202944E-3</v>
      </c>
      <c r="K257">
        <v>153</v>
      </c>
      <c r="M257">
        <f t="shared" si="9"/>
        <v>108.241719367847</v>
      </c>
      <c r="N257">
        <f t="shared" si="10"/>
        <v>44.758280632153003</v>
      </c>
      <c r="O257">
        <f t="shared" si="11"/>
        <v>2003.3036851465627</v>
      </c>
    </row>
    <row r="258" spans="1:15" x14ac:dyDescent="0.25">
      <c r="A258">
        <v>-4.9105016391043067E-2</v>
      </c>
      <c r="B258">
        <v>-4.4641636506989137E-2</v>
      </c>
      <c r="C258">
        <v>0.1608549173157168</v>
      </c>
      <c r="D258">
        <v>-4.6984634002948528E-2</v>
      </c>
      <c r="E258">
        <v>-2.9088016984233661E-2</v>
      </c>
      <c r="F258">
        <v>-1.9789636671801281E-2</v>
      </c>
      <c r="G258">
        <v>-4.7082483456111851E-2</v>
      </c>
      <c r="H258">
        <v>3.4308858877726729E-2</v>
      </c>
      <c r="I258">
        <v>2.8020372493329278E-2</v>
      </c>
      <c r="J258">
        <v>1.13486232440374E-2</v>
      </c>
      <c r="K258">
        <v>346</v>
      </c>
      <c r="M258">
        <f t="shared" si="9"/>
        <v>250.78242681357096</v>
      </c>
      <c r="N258">
        <f t="shared" si="10"/>
        <v>95.217573186429036</v>
      </c>
      <c r="O258">
        <f t="shared" si="11"/>
        <v>9066.3862435129704</v>
      </c>
    </row>
    <row r="259" spans="1:15" x14ac:dyDescent="0.25">
      <c r="A259">
        <v>-2.7309785684926549E-2</v>
      </c>
      <c r="B259">
        <v>5.0680118739818619E-2</v>
      </c>
      <c r="C259">
        <v>-5.5785309534323882E-2</v>
      </c>
      <c r="D259">
        <v>2.531523648988596E-2</v>
      </c>
      <c r="E259">
        <v>-7.072771253015731E-3</v>
      </c>
      <c r="F259">
        <v>-2.3547418213275689E-2</v>
      </c>
      <c r="G259">
        <v>5.2321737254235563E-2</v>
      </c>
      <c r="H259">
        <v>-3.9493382874093291E-2</v>
      </c>
      <c r="I259">
        <v>-5.1421898017138907E-3</v>
      </c>
      <c r="J259">
        <v>-5.0782980478479442E-2</v>
      </c>
      <c r="K259">
        <v>63</v>
      </c>
      <c r="M259">
        <f t="shared" ref="M259:M322" si="12">$A$446 + SUMPRODUCT($B$446:$K$446, A259:J259)</f>
        <v>119.15092120251795</v>
      </c>
      <c r="N259">
        <f t="shared" ref="N259:N322" si="13">K259-M259</f>
        <v>-56.150921202517949</v>
      </c>
      <c r="O259">
        <f t="shared" ref="O259:O322" si="14">N259^2</f>
        <v>3152.92595189138</v>
      </c>
    </row>
    <row r="260" spans="1:15" x14ac:dyDescent="0.25">
      <c r="A260">
        <v>7.8033829394636642E-2</v>
      </c>
      <c r="B260">
        <v>5.0680118739818619E-2</v>
      </c>
      <c r="C260">
        <v>-2.4528759391780671E-2</v>
      </c>
      <c r="D260">
        <v>-4.2405642205069018E-2</v>
      </c>
      <c r="E260">
        <v>6.6867573289954782E-3</v>
      </c>
      <c r="F260">
        <v>5.2860806463370803E-2</v>
      </c>
      <c r="G260">
        <v>-6.9172310280633503E-2</v>
      </c>
      <c r="H260">
        <v>8.0804271181373344E-2</v>
      </c>
      <c r="I260">
        <v>-3.71288393600719E-2</v>
      </c>
      <c r="J260">
        <v>5.6911799307216418E-2</v>
      </c>
      <c r="K260">
        <v>89</v>
      </c>
      <c r="M260">
        <f t="shared" si="12"/>
        <v>115.71152632889965</v>
      </c>
      <c r="N260">
        <f t="shared" si="13"/>
        <v>-26.711526328899652</v>
      </c>
      <c r="O260">
        <f t="shared" si="14"/>
        <v>713.50563881949927</v>
      </c>
    </row>
    <row r="261" spans="1:15" x14ac:dyDescent="0.25">
      <c r="A261">
        <v>1.264813727628708E-2</v>
      </c>
      <c r="B261">
        <v>-4.4641636506989137E-2</v>
      </c>
      <c r="C261">
        <v>-3.6384692204469479E-2</v>
      </c>
      <c r="D261">
        <v>4.2529491369132269E-2</v>
      </c>
      <c r="E261">
        <v>-1.395253554402134E-2</v>
      </c>
      <c r="F261">
        <v>1.2934377585205121E-2</v>
      </c>
      <c r="G261">
        <v>-2.6833475533633681E-2</v>
      </c>
      <c r="H261">
        <v>5.1569733857578228E-3</v>
      </c>
      <c r="I261">
        <v>-4.3983772522763587E-2</v>
      </c>
      <c r="J261">
        <v>7.206516329202944E-3</v>
      </c>
      <c r="K261">
        <v>50</v>
      </c>
      <c r="M261">
        <f t="shared" si="12"/>
        <v>120.54044604276459</v>
      </c>
      <c r="N261">
        <f t="shared" si="13"/>
        <v>-70.540446042764586</v>
      </c>
      <c r="O261">
        <f t="shared" si="14"/>
        <v>4975.9545279121821</v>
      </c>
    </row>
    <row r="262" spans="1:15" x14ac:dyDescent="0.25">
      <c r="A262">
        <v>4.170844488444244E-2</v>
      </c>
      <c r="B262">
        <v>-4.4641636506989137E-2</v>
      </c>
      <c r="C262">
        <v>-8.3615782835686752E-3</v>
      </c>
      <c r="D262">
        <v>-5.7313186930496307E-2</v>
      </c>
      <c r="E262">
        <v>8.0627101871965992E-3</v>
      </c>
      <c r="F262">
        <v>-3.1376129758014057E-2</v>
      </c>
      <c r="G262">
        <v>0.15172595796458299</v>
      </c>
      <c r="H262">
        <v>-7.6394503750003298E-2</v>
      </c>
      <c r="I262">
        <v>-8.0236524102583959E-2</v>
      </c>
      <c r="J262">
        <v>-1.764612515980379E-2</v>
      </c>
      <c r="K262">
        <v>39</v>
      </c>
      <c r="M262">
        <f t="shared" si="12"/>
        <v>86.845359162175313</v>
      </c>
      <c r="N262">
        <f t="shared" si="13"/>
        <v>-47.845359162175313</v>
      </c>
      <c r="O262">
        <f t="shared" si="14"/>
        <v>2289.1783933575534</v>
      </c>
    </row>
    <row r="263" spans="1:15" x14ac:dyDescent="0.25">
      <c r="A263">
        <v>4.8973521786481282E-2</v>
      </c>
      <c r="B263">
        <v>-4.4641636506989137E-2</v>
      </c>
      <c r="C263">
        <v>-4.1773752573873467E-2</v>
      </c>
      <c r="D263">
        <v>0.104500808934419</v>
      </c>
      <c r="E263">
        <v>3.5581767351219019E-2</v>
      </c>
      <c r="F263">
        <v>-2.573945744580244E-2</v>
      </c>
      <c r="G263">
        <v>0.17749742259319159</v>
      </c>
      <c r="H263">
        <v>-7.6394503750003298E-2</v>
      </c>
      <c r="I263">
        <v>-1.290868322540187E-2</v>
      </c>
      <c r="J263">
        <v>1.549073015887186E-2</v>
      </c>
      <c r="K263">
        <v>103</v>
      </c>
      <c r="M263">
        <f t="shared" si="12"/>
        <v>143.51391234621744</v>
      </c>
      <c r="N263">
        <f t="shared" si="13"/>
        <v>-40.513912346217438</v>
      </c>
      <c r="O263">
        <f t="shared" si="14"/>
        <v>1641.3770935969899</v>
      </c>
    </row>
    <row r="264" spans="1:15" x14ac:dyDescent="0.25">
      <c r="A264">
        <v>-1.641217033186829E-2</v>
      </c>
      <c r="B264">
        <v>5.0680118739818619E-2</v>
      </c>
      <c r="C264">
        <v>0.12744274302541209</v>
      </c>
      <c r="D264">
        <v>9.7615106982720454E-2</v>
      </c>
      <c r="E264">
        <v>1.6318427336403318E-2</v>
      </c>
      <c r="F264">
        <v>1.747503028115336E-2</v>
      </c>
      <c r="G264">
        <v>-2.1311018827503261E-2</v>
      </c>
      <c r="H264">
        <v>3.4308858877726729E-2</v>
      </c>
      <c r="I264">
        <v>3.4866190053411017E-2</v>
      </c>
      <c r="J264">
        <v>3.064409414368488E-3</v>
      </c>
      <c r="K264">
        <v>308</v>
      </c>
      <c r="M264">
        <f t="shared" si="12"/>
        <v>271.65432285213569</v>
      </c>
      <c r="N264">
        <f t="shared" si="13"/>
        <v>36.345677147864308</v>
      </c>
      <c r="O264">
        <f t="shared" si="14"/>
        <v>1321.0082473367856</v>
      </c>
    </row>
    <row r="265" spans="1:15" x14ac:dyDescent="0.25">
      <c r="A265">
        <v>-7.4532785548179006E-2</v>
      </c>
      <c r="B265">
        <v>5.0680118739818619E-2</v>
      </c>
      <c r="C265">
        <v>-7.734155101193986E-2</v>
      </c>
      <c r="D265">
        <v>-4.6984634002948528E-2</v>
      </c>
      <c r="E265">
        <v>-4.6975404140848227E-2</v>
      </c>
      <c r="F265">
        <v>-3.2628723605172223E-2</v>
      </c>
      <c r="G265">
        <v>4.4604458011053274E-3</v>
      </c>
      <c r="H265">
        <v>-3.9493382874093291E-2</v>
      </c>
      <c r="I265">
        <v>-7.2132753382327428E-2</v>
      </c>
      <c r="J265">
        <v>-1.764612515980379E-2</v>
      </c>
      <c r="K265">
        <v>116</v>
      </c>
      <c r="M265">
        <f t="shared" si="12"/>
        <v>55.670233811441094</v>
      </c>
      <c r="N265">
        <f t="shared" si="13"/>
        <v>60.329766188558906</v>
      </c>
      <c r="O265">
        <f t="shared" si="14"/>
        <v>3639.6806883661852</v>
      </c>
    </row>
    <row r="266" spans="1:15" x14ac:dyDescent="0.25">
      <c r="A266">
        <v>3.4443367982403598E-2</v>
      </c>
      <c r="B266">
        <v>5.0680118739818619E-2</v>
      </c>
      <c r="C266">
        <v>2.8284032228378501E-2</v>
      </c>
      <c r="D266">
        <v>-3.3213230099551481E-2</v>
      </c>
      <c r="E266">
        <v>-4.5599451282647113E-2</v>
      </c>
      <c r="F266">
        <v>-9.7688858945361584E-3</v>
      </c>
      <c r="G266">
        <v>-5.0764121260198802E-2</v>
      </c>
      <c r="H266">
        <v>-2.592261998183278E-3</v>
      </c>
      <c r="I266">
        <v>-5.9471181357089682E-2</v>
      </c>
      <c r="J266">
        <v>-2.1788232074638241E-2</v>
      </c>
      <c r="K266">
        <v>145</v>
      </c>
      <c r="M266">
        <f t="shared" si="12"/>
        <v>129.7164386827713</v>
      </c>
      <c r="N266">
        <f t="shared" si="13"/>
        <v>15.283561317228703</v>
      </c>
      <c r="O266">
        <f t="shared" si="14"/>
        <v>233.58724653748956</v>
      </c>
    </row>
    <row r="267" spans="1:15" x14ac:dyDescent="0.25">
      <c r="A267">
        <v>-3.4574862586965391E-2</v>
      </c>
      <c r="B267">
        <v>5.0680118739818619E-2</v>
      </c>
      <c r="C267">
        <v>-2.560657146566148E-2</v>
      </c>
      <c r="D267">
        <v>-1.7135116042335429E-2</v>
      </c>
      <c r="E267">
        <v>1.182945896190995E-3</v>
      </c>
      <c r="F267">
        <v>-2.8796197351664051E-3</v>
      </c>
      <c r="G267">
        <v>8.1420836051922674E-3</v>
      </c>
      <c r="H267">
        <v>-1.5507654304751791E-2</v>
      </c>
      <c r="I267">
        <v>1.4820979914103669E-2</v>
      </c>
      <c r="J267">
        <v>4.0343371647878587E-2</v>
      </c>
      <c r="K267">
        <v>74</v>
      </c>
      <c r="M267">
        <f t="shared" si="12"/>
        <v>140.31510816036092</v>
      </c>
      <c r="N267">
        <f t="shared" si="13"/>
        <v>-66.315108160360921</v>
      </c>
      <c r="O267">
        <f t="shared" si="14"/>
        <v>4397.6935703203681</v>
      </c>
    </row>
    <row r="268" spans="1:15" x14ac:dyDescent="0.25">
      <c r="A268">
        <v>-5.2737554842062502E-2</v>
      </c>
      <c r="B268">
        <v>5.0680118739818619E-2</v>
      </c>
      <c r="C268">
        <v>-6.2252181977608657E-2</v>
      </c>
      <c r="D268">
        <v>1.154383258648892E-2</v>
      </c>
      <c r="E268">
        <v>-8.4487241112168512E-3</v>
      </c>
      <c r="F268">
        <v>-3.6699653608436168E-2</v>
      </c>
      <c r="G268">
        <v>0.12227285553188751</v>
      </c>
      <c r="H268">
        <v>-7.6394503750003298E-2</v>
      </c>
      <c r="I268">
        <v>-8.6827104789586787E-2</v>
      </c>
      <c r="J268">
        <v>3.064409414368488E-3</v>
      </c>
      <c r="K268">
        <v>45</v>
      </c>
      <c r="M268">
        <f t="shared" si="12"/>
        <v>70.445845265212839</v>
      </c>
      <c r="N268">
        <f t="shared" si="13"/>
        <v>-25.445845265212839</v>
      </c>
      <c r="O268">
        <f t="shared" si="14"/>
        <v>647.49104126115469</v>
      </c>
    </row>
    <row r="269" spans="1:15" x14ac:dyDescent="0.25">
      <c r="A269">
        <v>5.9871137139539538E-2</v>
      </c>
      <c r="B269">
        <v>-4.4641636506989137E-2</v>
      </c>
      <c r="C269">
        <v>-8.1689376640308559E-4</v>
      </c>
      <c r="D269">
        <v>-8.4855994737290399E-2</v>
      </c>
      <c r="E269">
        <v>7.5484400239051522E-2</v>
      </c>
      <c r="F269">
        <v>7.9478425715481263E-2</v>
      </c>
      <c r="G269">
        <v>4.4604458011053274E-3</v>
      </c>
      <c r="H269">
        <v>3.4308858877726729E-2</v>
      </c>
      <c r="I269">
        <v>2.337141516224845E-2</v>
      </c>
      <c r="J269">
        <v>2.7917050903375221E-2</v>
      </c>
      <c r="K269">
        <v>115</v>
      </c>
      <c r="M269">
        <f t="shared" si="12"/>
        <v>144.6025674189984</v>
      </c>
      <c r="N269">
        <f t="shared" si="13"/>
        <v>-29.602567418998404</v>
      </c>
      <c r="O269">
        <f t="shared" si="14"/>
        <v>876.31199779634585</v>
      </c>
    </row>
    <row r="270" spans="1:15" x14ac:dyDescent="0.25">
      <c r="A270">
        <v>6.3503675590558972E-2</v>
      </c>
      <c r="B270">
        <v>5.0680118739818619E-2</v>
      </c>
      <c r="C270">
        <v>8.8641508365703281E-2</v>
      </c>
      <c r="D270">
        <v>7.0072299175926361E-2</v>
      </c>
      <c r="E270">
        <v>2.0446285911006681E-2</v>
      </c>
      <c r="F270">
        <v>3.7516531835683618E-2</v>
      </c>
      <c r="G270">
        <v>-5.0764121260198802E-2</v>
      </c>
      <c r="H270">
        <v>7.1209979753636743E-2</v>
      </c>
      <c r="I270">
        <v>2.9296556858723951E-2</v>
      </c>
      <c r="J270">
        <v>7.3480226966554235E-2</v>
      </c>
      <c r="K270">
        <v>264</v>
      </c>
      <c r="M270">
        <f t="shared" si="12"/>
        <v>243.82639637599692</v>
      </c>
      <c r="N270">
        <f t="shared" si="13"/>
        <v>20.173603624003078</v>
      </c>
      <c r="O270">
        <f t="shared" si="14"/>
        <v>406.97428317839012</v>
      </c>
    </row>
    <row r="271" spans="1:15" x14ac:dyDescent="0.25">
      <c r="A271">
        <v>9.0155988252676577E-3</v>
      </c>
      <c r="B271">
        <v>-4.4641636506989137E-2</v>
      </c>
      <c r="C271">
        <v>-3.20734439089463E-2</v>
      </c>
      <c r="D271">
        <v>-2.6327528147852958E-2</v>
      </c>
      <c r="E271">
        <v>4.2461531642224618E-2</v>
      </c>
      <c r="F271">
        <v>-1.039518281811524E-2</v>
      </c>
      <c r="G271">
        <v>0.15908923357275689</v>
      </c>
      <c r="H271">
        <v>-7.6394503750003298E-2</v>
      </c>
      <c r="I271">
        <v>-1.189685133569598E-2</v>
      </c>
      <c r="J271">
        <v>-3.8356659733976069E-2</v>
      </c>
      <c r="K271">
        <v>87</v>
      </c>
      <c r="M271">
        <f t="shared" si="12"/>
        <v>114.23981533702862</v>
      </c>
      <c r="N271">
        <f t="shared" si="13"/>
        <v>-27.239815337028617</v>
      </c>
      <c r="O271">
        <f t="shared" si="14"/>
        <v>742.00753959541942</v>
      </c>
    </row>
    <row r="272" spans="1:15" x14ac:dyDescent="0.25">
      <c r="A272">
        <v>5.3830603742482368E-3</v>
      </c>
      <c r="B272">
        <v>5.0680118739818619E-2</v>
      </c>
      <c r="C272">
        <v>3.043965637614009E-2</v>
      </c>
      <c r="D272">
        <v>8.3843703079323414E-2</v>
      </c>
      <c r="E272">
        <v>-3.7343734133440387E-2</v>
      </c>
      <c r="F272">
        <v>-4.7346701309280342E-2</v>
      </c>
      <c r="G272">
        <v>1.5505359213366149E-2</v>
      </c>
      <c r="H272">
        <v>-3.9493382874093291E-2</v>
      </c>
      <c r="I272">
        <v>8.6406013445492463E-3</v>
      </c>
      <c r="J272">
        <v>1.549073015887186E-2</v>
      </c>
      <c r="K272">
        <v>202</v>
      </c>
      <c r="M272">
        <f t="shared" si="12"/>
        <v>193.66981763633808</v>
      </c>
      <c r="N272">
        <f t="shared" si="13"/>
        <v>8.330182363661919</v>
      </c>
      <c r="O272">
        <f t="shared" si="14"/>
        <v>69.391938211864073</v>
      </c>
    </row>
    <row r="273" spans="1:15" x14ac:dyDescent="0.25">
      <c r="A273">
        <v>3.8075906433423033E-2</v>
      </c>
      <c r="B273">
        <v>5.0680118739818619E-2</v>
      </c>
      <c r="C273">
        <v>8.8834148985240946E-3</v>
      </c>
      <c r="D273">
        <v>4.2529491369132269E-2</v>
      </c>
      <c r="E273">
        <v>-4.2847545566244871E-2</v>
      </c>
      <c r="F273">
        <v>-2.1042230518959419E-2</v>
      </c>
      <c r="G273">
        <v>-3.9719207847937969E-2</v>
      </c>
      <c r="H273">
        <v>-2.592261998183278E-3</v>
      </c>
      <c r="I273">
        <v>-1.8113692315690318E-2</v>
      </c>
      <c r="J273">
        <v>7.206516329202944E-3</v>
      </c>
      <c r="K273">
        <v>127</v>
      </c>
      <c r="M273">
        <f t="shared" si="12"/>
        <v>159.35817415577137</v>
      </c>
      <c r="N273">
        <f t="shared" si="13"/>
        <v>-32.358174155771366</v>
      </c>
      <c r="O273">
        <f t="shared" si="14"/>
        <v>1047.05143469523</v>
      </c>
    </row>
    <row r="274" spans="1:15" x14ac:dyDescent="0.25">
      <c r="A274">
        <v>1.264813727628708E-2</v>
      </c>
      <c r="B274">
        <v>-4.4641636506989137E-2</v>
      </c>
      <c r="C274">
        <v>6.7277907507625042E-3</v>
      </c>
      <c r="D274">
        <v>-5.6177046108466057E-2</v>
      </c>
      <c r="E274">
        <v>-7.5870414163071775E-2</v>
      </c>
      <c r="F274">
        <v>-6.6448757478441978E-2</v>
      </c>
      <c r="G274">
        <v>-2.1311018827503261E-2</v>
      </c>
      <c r="H274">
        <v>-3.7648326830297792E-2</v>
      </c>
      <c r="I274">
        <v>-1.8113692315690318E-2</v>
      </c>
      <c r="J274">
        <v>-9.2204049626824006E-2</v>
      </c>
      <c r="K274">
        <v>182</v>
      </c>
      <c r="M274">
        <f t="shared" si="12"/>
        <v>127.0896256207273</v>
      </c>
      <c r="N274">
        <f t="shared" si="13"/>
        <v>54.910374379272696</v>
      </c>
      <c r="O274">
        <f t="shared" si="14"/>
        <v>3015.1492144718873</v>
      </c>
    </row>
    <row r="275" spans="1:15" x14ac:dyDescent="0.25">
      <c r="A275">
        <v>7.4401290943617221E-2</v>
      </c>
      <c r="B275">
        <v>5.0680118739818619E-2</v>
      </c>
      <c r="C275">
        <v>-2.0217511096257489E-2</v>
      </c>
      <c r="D275">
        <v>4.5972342344981529E-2</v>
      </c>
      <c r="E275">
        <v>7.4108447380850401E-2</v>
      </c>
      <c r="F275">
        <v>3.2819304908840587E-2</v>
      </c>
      <c r="G275">
        <v>-3.6037570043851018E-2</v>
      </c>
      <c r="H275">
        <v>7.1209979753636743E-2</v>
      </c>
      <c r="I275">
        <v>0.1063507457207359</v>
      </c>
      <c r="J275">
        <v>3.6201264733044143E-2</v>
      </c>
      <c r="K275">
        <v>241</v>
      </c>
      <c r="M275">
        <f t="shared" si="12"/>
        <v>210.97600629743687</v>
      </c>
      <c r="N275">
        <f t="shared" si="13"/>
        <v>30.023993702563132</v>
      </c>
      <c r="O275">
        <f t="shared" si="14"/>
        <v>901.44019785155058</v>
      </c>
    </row>
    <row r="276" spans="1:15" x14ac:dyDescent="0.25">
      <c r="A276">
        <v>1.6280675727306501E-2</v>
      </c>
      <c r="B276">
        <v>-4.4641636506989137E-2</v>
      </c>
      <c r="C276">
        <v>-2.4528759391780671E-2</v>
      </c>
      <c r="D276">
        <v>3.5643789417433749E-2</v>
      </c>
      <c r="E276">
        <v>-7.072771253015731E-3</v>
      </c>
      <c r="F276">
        <v>-3.192768196955922E-3</v>
      </c>
      <c r="G276">
        <v>-1.394774321932938E-2</v>
      </c>
      <c r="H276">
        <v>-2.592261998183278E-3</v>
      </c>
      <c r="I276">
        <v>1.5568459328120621E-2</v>
      </c>
      <c r="J276">
        <v>1.549073015887186E-2</v>
      </c>
      <c r="K276">
        <v>66</v>
      </c>
      <c r="M276">
        <f t="shared" si="12"/>
        <v>155.01740915893649</v>
      </c>
      <c r="N276">
        <f t="shared" si="13"/>
        <v>-89.017409158936488</v>
      </c>
      <c r="O276">
        <f t="shared" si="14"/>
        <v>7924.0991333695101</v>
      </c>
    </row>
    <row r="277" spans="1:15" x14ac:dyDescent="0.25">
      <c r="A277">
        <v>-5.5145549788100249E-3</v>
      </c>
      <c r="B277">
        <v>5.0680118739818619E-2</v>
      </c>
      <c r="C277">
        <v>-1.159501450521108E-2</v>
      </c>
      <c r="D277">
        <v>1.154383258648892E-2</v>
      </c>
      <c r="E277">
        <v>-2.220825269322806E-2</v>
      </c>
      <c r="F277">
        <v>-1.5405558206747799E-2</v>
      </c>
      <c r="G277">
        <v>-2.1311018827503261E-2</v>
      </c>
      <c r="H277">
        <v>-2.592261998183278E-3</v>
      </c>
      <c r="I277">
        <v>1.101065802313945E-2</v>
      </c>
      <c r="J277">
        <v>6.9338120051719784E-2</v>
      </c>
      <c r="K277">
        <v>94</v>
      </c>
      <c r="M277">
        <f t="shared" si="12"/>
        <v>155.82238503897915</v>
      </c>
      <c r="N277">
        <f t="shared" si="13"/>
        <v>-61.822385038979149</v>
      </c>
      <c r="O277">
        <f t="shared" si="14"/>
        <v>3822.0072919077929</v>
      </c>
    </row>
    <row r="278" spans="1:15" x14ac:dyDescent="0.25">
      <c r="A278">
        <v>1.264813727628708E-2</v>
      </c>
      <c r="B278">
        <v>-4.4641636506989137E-2</v>
      </c>
      <c r="C278">
        <v>2.6128408080616901E-2</v>
      </c>
      <c r="D278">
        <v>6.3186597224227828E-2</v>
      </c>
      <c r="E278">
        <v>0.12501870313429189</v>
      </c>
      <c r="F278">
        <v>9.169121572527314E-2</v>
      </c>
      <c r="G278">
        <v>6.3366650666496382E-2</v>
      </c>
      <c r="H278">
        <v>-2.592261998183278E-3</v>
      </c>
      <c r="I278">
        <v>5.7573156154827262E-2</v>
      </c>
      <c r="J278">
        <v>-2.1788232074638241E-2</v>
      </c>
      <c r="K278">
        <v>283</v>
      </c>
      <c r="M278">
        <f t="shared" si="12"/>
        <v>211.44748756222171</v>
      </c>
      <c r="N278">
        <f t="shared" si="13"/>
        <v>71.55251243777829</v>
      </c>
      <c r="O278">
        <f t="shared" si="14"/>
        <v>5119.7620361584168</v>
      </c>
    </row>
    <row r="279" spans="1:15" x14ac:dyDescent="0.25">
      <c r="A279">
        <v>-3.4574862586965391E-2</v>
      </c>
      <c r="B279">
        <v>-4.4641636506989137E-2</v>
      </c>
      <c r="C279">
        <v>-5.901874575596628E-2</v>
      </c>
      <c r="D279">
        <v>1.2152796589411331E-3</v>
      </c>
      <c r="E279">
        <v>-5.3855168431853832E-2</v>
      </c>
      <c r="F279">
        <v>-7.8035250564654782E-2</v>
      </c>
      <c r="G279">
        <v>6.7048288470583334E-2</v>
      </c>
      <c r="H279">
        <v>-7.6394503750003298E-2</v>
      </c>
      <c r="I279">
        <v>-2.1395309255276829E-2</v>
      </c>
      <c r="J279">
        <v>1.549073015887186E-2</v>
      </c>
      <c r="K279">
        <v>64</v>
      </c>
      <c r="M279">
        <f t="shared" si="12"/>
        <v>102.56741932412767</v>
      </c>
      <c r="N279">
        <f t="shared" si="13"/>
        <v>-38.56741932412767</v>
      </c>
      <c r="O279">
        <f t="shared" si="14"/>
        <v>1487.4458333230964</v>
      </c>
    </row>
    <row r="280" spans="1:15" x14ac:dyDescent="0.25">
      <c r="A280">
        <v>6.7136214041578379E-2</v>
      </c>
      <c r="B280">
        <v>5.0680118739818619E-2</v>
      </c>
      <c r="C280">
        <v>-3.6384692204469479E-2</v>
      </c>
      <c r="D280">
        <v>-8.4855994737290399E-2</v>
      </c>
      <c r="E280">
        <v>-7.072771253015731E-3</v>
      </c>
      <c r="F280">
        <v>1.9667069513680122E-2</v>
      </c>
      <c r="G280">
        <v>-5.4445759064285733E-2</v>
      </c>
      <c r="H280">
        <v>3.4308858877726729E-2</v>
      </c>
      <c r="I280">
        <v>1.147575999160146E-3</v>
      </c>
      <c r="J280">
        <v>3.2059157818209678E-2</v>
      </c>
      <c r="K280">
        <v>102</v>
      </c>
      <c r="M280">
        <f t="shared" si="12"/>
        <v>112.87788592125817</v>
      </c>
      <c r="N280">
        <f t="shared" si="13"/>
        <v>-10.877885921258169</v>
      </c>
      <c r="O280">
        <f t="shared" si="14"/>
        <v>118.3284021159067</v>
      </c>
    </row>
    <row r="281" spans="1:15" x14ac:dyDescent="0.25">
      <c r="A281">
        <v>3.8075906433423033E-2</v>
      </c>
      <c r="B281">
        <v>5.0680118739818619E-2</v>
      </c>
      <c r="C281">
        <v>-2.4528759391780671E-2</v>
      </c>
      <c r="D281">
        <v>4.6581306347903946E-3</v>
      </c>
      <c r="E281">
        <v>-2.6336111267831419E-2</v>
      </c>
      <c r="F281">
        <v>-2.636575436938152E-2</v>
      </c>
      <c r="G281">
        <v>1.5505359213366149E-2</v>
      </c>
      <c r="H281">
        <v>-3.9493382874093291E-2</v>
      </c>
      <c r="I281">
        <v>-1.5998872510179039E-2</v>
      </c>
      <c r="J281">
        <v>-2.5930338989472699E-2</v>
      </c>
      <c r="K281">
        <v>200</v>
      </c>
      <c r="M281">
        <f t="shared" si="12"/>
        <v>127.5175734998153</v>
      </c>
      <c r="N281">
        <f t="shared" si="13"/>
        <v>72.482426500184701</v>
      </c>
      <c r="O281">
        <f t="shared" si="14"/>
        <v>5253.702151354677</v>
      </c>
    </row>
    <row r="282" spans="1:15" x14ac:dyDescent="0.25">
      <c r="A282">
        <v>9.0155988252676577E-3</v>
      </c>
      <c r="B282">
        <v>5.0680118739818619E-2</v>
      </c>
      <c r="C282">
        <v>1.858372356345131E-2</v>
      </c>
      <c r="D282">
        <v>3.9086640393283009E-2</v>
      </c>
      <c r="E282">
        <v>1.769438019460445E-2</v>
      </c>
      <c r="F282">
        <v>1.058576412178361E-2</v>
      </c>
      <c r="G282">
        <v>1.9186997017453088E-2</v>
      </c>
      <c r="H282">
        <v>-2.592261998183278E-3</v>
      </c>
      <c r="I282">
        <v>1.6306823139527551E-2</v>
      </c>
      <c r="J282">
        <v>-1.764612515980379E-2</v>
      </c>
      <c r="K282">
        <v>265</v>
      </c>
      <c r="M282">
        <f t="shared" si="12"/>
        <v>180.45247656939779</v>
      </c>
      <c r="N282">
        <f t="shared" si="13"/>
        <v>84.547523430602212</v>
      </c>
      <c r="O282">
        <f t="shared" si="14"/>
        <v>7148.2837182482299</v>
      </c>
    </row>
    <row r="283" spans="1:15" x14ac:dyDescent="0.25">
      <c r="A283">
        <v>-9.2695477803276125E-2</v>
      </c>
      <c r="B283">
        <v>5.0680118739818619E-2</v>
      </c>
      <c r="C283">
        <v>-9.0275295898509453E-2</v>
      </c>
      <c r="D283">
        <v>-5.7313186930496307E-2</v>
      </c>
      <c r="E283">
        <v>-2.4960158409630302E-2</v>
      </c>
      <c r="F283">
        <v>-3.0436684372645469E-2</v>
      </c>
      <c r="G283">
        <v>-6.584467611155497E-3</v>
      </c>
      <c r="H283">
        <v>-2.592261998183278E-3</v>
      </c>
      <c r="I283">
        <v>2.4055085357995651E-2</v>
      </c>
      <c r="J283">
        <v>3.064409414368488E-3</v>
      </c>
      <c r="K283">
        <v>94</v>
      </c>
      <c r="M283">
        <f t="shared" si="12"/>
        <v>96.37981838980744</v>
      </c>
      <c r="N283">
        <f t="shared" si="13"/>
        <v>-2.3798183898074399</v>
      </c>
      <c r="O283">
        <f t="shared" si="14"/>
        <v>5.6635355684656759</v>
      </c>
    </row>
    <row r="284" spans="1:15" x14ac:dyDescent="0.25">
      <c r="A284">
        <v>7.07687524925978E-2</v>
      </c>
      <c r="B284">
        <v>-4.4641636506989137E-2</v>
      </c>
      <c r="C284">
        <v>-5.1281420619263074E-3</v>
      </c>
      <c r="D284">
        <v>-5.67042229275739E-3</v>
      </c>
      <c r="E284">
        <v>8.7867975962861611E-2</v>
      </c>
      <c r="F284">
        <v>0.10296456034969639</v>
      </c>
      <c r="G284">
        <v>1.182372140927921E-2</v>
      </c>
      <c r="H284">
        <v>3.4308858877726729E-2</v>
      </c>
      <c r="I284">
        <v>-8.9433960900681692E-3</v>
      </c>
      <c r="J284">
        <v>2.7917050903375221E-2</v>
      </c>
      <c r="K284">
        <v>230</v>
      </c>
      <c r="M284">
        <f t="shared" si="12"/>
        <v>146.45176982701656</v>
      </c>
      <c r="N284">
        <f t="shared" si="13"/>
        <v>83.548230172983438</v>
      </c>
      <c r="O284">
        <f t="shared" si="14"/>
        <v>6980.3067650378198</v>
      </c>
    </row>
    <row r="285" spans="1:15" x14ac:dyDescent="0.25">
      <c r="A285">
        <v>-1.641217033186829E-2</v>
      </c>
      <c r="B285">
        <v>-4.4641636506989137E-2</v>
      </c>
      <c r="C285">
        <v>-5.255187331268147E-2</v>
      </c>
      <c r="D285">
        <v>-3.3213230099551481E-2</v>
      </c>
      <c r="E285">
        <v>-4.4223498424445992E-2</v>
      </c>
      <c r="F285">
        <v>-3.6386505146646618E-2</v>
      </c>
      <c r="G285">
        <v>1.9186997017453088E-2</v>
      </c>
      <c r="H285">
        <v>-3.9493382874093291E-2</v>
      </c>
      <c r="I285">
        <v>-6.83315470939731E-2</v>
      </c>
      <c r="J285">
        <v>-3.007244590430716E-2</v>
      </c>
      <c r="K285">
        <v>181</v>
      </c>
      <c r="M285">
        <f t="shared" si="12"/>
        <v>75.224462982270197</v>
      </c>
      <c r="N285">
        <f t="shared" si="13"/>
        <v>105.7755370177298</v>
      </c>
      <c r="O285">
        <f t="shared" si="14"/>
        <v>11188.464231389127</v>
      </c>
    </row>
    <row r="286" spans="1:15" x14ac:dyDescent="0.25">
      <c r="A286">
        <v>4.170844488444244E-2</v>
      </c>
      <c r="B286">
        <v>5.0680118739818619E-2</v>
      </c>
      <c r="C286">
        <v>-2.2373135244019071E-2</v>
      </c>
      <c r="D286">
        <v>2.875808746573523E-2</v>
      </c>
      <c r="E286">
        <v>-6.6238744155663928E-2</v>
      </c>
      <c r="F286">
        <v>-4.5154662076753622E-2</v>
      </c>
      <c r="G286">
        <v>-6.1809034672459622E-2</v>
      </c>
      <c r="H286">
        <v>-2.592261998183278E-3</v>
      </c>
      <c r="I286">
        <v>2.8613092898330471E-3</v>
      </c>
      <c r="J286">
        <v>-5.4925087393313893E-2</v>
      </c>
      <c r="K286">
        <v>156</v>
      </c>
      <c r="M286">
        <f t="shared" si="12"/>
        <v>145.95135401401382</v>
      </c>
      <c r="N286">
        <f t="shared" si="13"/>
        <v>10.048645985986184</v>
      </c>
      <c r="O286">
        <f t="shared" si="14"/>
        <v>100.97528615167624</v>
      </c>
    </row>
    <row r="287" spans="1:15" x14ac:dyDescent="0.25">
      <c r="A287">
        <v>1.264813727628708E-2</v>
      </c>
      <c r="B287">
        <v>-4.4641636506989137E-2</v>
      </c>
      <c r="C287">
        <v>-2.0217511096257489E-2</v>
      </c>
      <c r="D287">
        <v>-1.5998975220305179E-2</v>
      </c>
      <c r="E287">
        <v>1.2190568761799961E-2</v>
      </c>
      <c r="F287">
        <v>2.123281182262779E-2</v>
      </c>
      <c r="G287">
        <v>-7.6535585888807392E-2</v>
      </c>
      <c r="H287">
        <v>0.10811110062954681</v>
      </c>
      <c r="I287">
        <v>5.9879403615147792E-2</v>
      </c>
      <c r="J287">
        <v>-2.1788232074638241E-2</v>
      </c>
      <c r="K287">
        <v>233</v>
      </c>
      <c r="M287">
        <f t="shared" si="12"/>
        <v>172.57990908963237</v>
      </c>
      <c r="N287">
        <f t="shared" si="13"/>
        <v>60.420090910367634</v>
      </c>
      <c r="O287">
        <f t="shared" si="14"/>
        <v>3650.5873856170897</v>
      </c>
    </row>
    <row r="288" spans="1:15" x14ac:dyDescent="0.25">
      <c r="A288">
        <v>-3.8207401037984812E-2</v>
      </c>
      <c r="B288">
        <v>-4.4641636506989137E-2</v>
      </c>
      <c r="C288">
        <v>-5.4707497460443059E-2</v>
      </c>
      <c r="D288">
        <v>-7.797029278559188E-2</v>
      </c>
      <c r="E288">
        <v>-3.3215875558837017E-2</v>
      </c>
      <c r="F288">
        <v>-8.6490259032972208E-2</v>
      </c>
      <c r="G288">
        <v>0.14068104455232219</v>
      </c>
      <c r="H288">
        <v>-7.6394503750003298E-2</v>
      </c>
      <c r="I288">
        <v>-1.9198449026275911E-2</v>
      </c>
      <c r="J288">
        <v>-5.2198044153004232E-3</v>
      </c>
      <c r="K288">
        <v>60</v>
      </c>
      <c r="M288">
        <f t="shared" si="12"/>
        <v>85.100803836400758</v>
      </c>
      <c r="N288">
        <f t="shared" si="13"/>
        <v>-25.100803836400758</v>
      </c>
      <c r="O288">
        <f t="shared" si="14"/>
        <v>630.05035323347101</v>
      </c>
    </row>
    <row r="289" spans="1:15" x14ac:dyDescent="0.25">
      <c r="A289">
        <v>4.5340983335461861E-2</v>
      </c>
      <c r="B289">
        <v>-4.4641636506989137E-2</v>
      </c>
      <c r="C289">
        <v>-6.2059541358070831E-3</v>
      </c>
      <c r="D289">
        <v>-1.5998975220305179E-2</v>
      </c>
      <c r="E289">
        <v>0.12501870313429189</v>
      </c>
      <c r="F289">
        <v>0.12519810113675339</v>
      </c>
      <c r="G289">
        <v>1.9186997017453088E-2</v>
      </c>
      <c r="H289">
        <v>3.4308858877726729E-2</v>
      </c>
      <c r="I289">
        <v>3.2432324156551069E-2</v>
      </c>
      <c r="J289">
        <v>-5.2198044153004232E-3</v>
      </c>
      <c r="K289">
        <v>219</v>
      </c>
      <c r="M289">
        <f t="shared" si="12"/>
        <v>162.65223002275746</v>
      </c>
      <c r="N289">
        <f t="shared" si="13"/>
        <v>56.347769977242535</v>
      </c>
      <c r="O289">
        <f t="shared" si="14"/>
        <v>3175.0711814082351</v>
      </c>
    </row>
    <row r="290" spans="1:15" x14ac:dyDescent="0.25">
      <c r="A290">
        <v>7.07687524925978E-2</v>
      </c>
      <c r="B290">
        <v>5.0680118739818619E-2</v>
      </c>
      <c r="C290">
        <v>-1.698407487461508E-2</v>
      </c>
      <c r="D290">
        <v>2.18723855140367E-2</v>
      </c>
      <c r="E290">
        <v>4.3837484500425739E-2</v>
      </c>
      <c r="F290">
        <v>5.630543954305571E-2</v>
      </c>
      <c r="G290">
        <v>3.75951860378878E-2</v>
      </c>
      <c r="H290">
        <v>-2.592261998183278E-3</v>
      </c>
      <c r="I290">
        <v>-7.0209361231625356E-2</v>
      </c>
      <c r="J290">
        <v>-1.764612515980379E-2</v>
      </c>
      <c r="K290">
        <v>80</v>
      </c>
      <c r="M290">
        <f t="shared" si="12"/>
        <v>112.22504127048956</v>
      </c>
      <c r="N290">
        <f t="shared" si="13"/>
        <v>-32.225041270489555</v>
      </c>
      <c r="O290">
        <f t="shared" si="14"/>
        <v>1038.453284884755</v>
      </c>
    </row>
    <row r="291" spans="1:15" x14ac:dyDescent="0.25">
      <c r="A291">
        <v>-7.4532785548179006E-2</v>
      </c>
      <c r="B291">
        <v>5.0680118739818619E-2</v>
      </c>
      <c r="C291">
        <v>5.5229334075398477E-2</v>
      </c>
      <c r="D291">
        <v>-4.0098932051250001E-2</v>
      </c>
      <c r="E291">
        <v>5.3469154507833593E-2</v>
      </c>
      <c r="F291">
        <v>5.317395492516036E-2</v>
      </c>
      <c r="G291">
        <v>-4.3400845652024907E-2</v>
      </c>
      <c r="H291">
        <v>7.1209979753636743E-2</v>
      </c>
      <c r="I291">
        <v>6.1237628404032171E-2</v>
      </c>
      <c r="J291">
        <v>-3.4214552819141618E-2</v>
      </c>
      <c r="K291">
        <v>68</v>
      </c>
      <c r="M291">
        <f t="shared" si="12"/>
        <v>208.29254033798156</v>
      </c>
      <c r="N291">
        <f t="shared" si="13"/>
        <v>-140.29254033798156</v>
      </c>
      <c r="O291">
        <f t="shared" si="14"/>
        <v>19681.996874484183</v>
      </c>
    </row>
    <row r="292" spans="1:15" x14ac:dyDescent="0.25">
      <c r="A292">
        <v>5.9871137139539538E-2</v>
      </c>
      <c r="B292">
        <v>5.0680118739818619E-2</v>
      </c>
      <c r="C292">
        <v>7.6785575553014476E-2</v>
      </c>
      <c r="D292">
        <v>2.531523648988596E-2</v>
      </c>
      <c r="E292">
        <v>1.182945896190995E-3</v>
      </c>
      <c r="F292">
        <v>1.6848733357574312E-2</v>
      </c>
      <c r="G292">
        <v>-5.4445759064285733E-2</v>
      </c>
      <c r="H292">
        <v>3.4308858877726729E-2</v>
      </c>
      <c r="I292">
        <v>2.993464904142137E-2</v>
      </c>
      <c r="J292">
        <v>4.4485478562713038E-2</v>
      </c>
      <c r="K292">
        <v>332</v>
      </c>
      <c r="M292">
        <f t="shared" si="12"/>
        <v>222.22581981411079</v>
      </c>
      <c r="N292">
        <f t="shared" si="13"/>
        <v>109.77418018588921</v>
      </c>
      <c r="O292">
        <f t="shared" si="14"/>
        <v>12050.370635484071</v>
      </c>
    </row>
    <row r="293" spans="1:15" x14ac:dyDescent="0.25">
      <c r="A293">
        <v>7.4401290943617221E-2</v>
      </c>
      <c r="B293">
        <v>-4.4641636506989137E-2</v>
      </c>
      <c r="C293">
        <v>1.858372356345131E-2</v>
      </c>
      <c r="D293">
        <v>6.3186597224227828E-2</v>
      </c>
      <c r="E293">
        <v>6.1724871657040312E-2</v>
      </c>
      <c r="F293">
        <v>4.2840055686105723E-2</v>
      </c>
      <c r="G293">
        <v>8.1420836051922674E-3</v>
      </c>
      <c r="H293">
        <v>-2.592261998183278E-3</v>
      </c>
      <c r="I293">
        <v>5.8038051887935392E-2</v>
      </c>
      <c r="J293">
        <v>-5.9067194308148351E-2</v>
      </c>
      <c r="K293">
        <v>248</v>
      </c>
      <c r="M293">
        <f t="shared" si="12"/>
        <v>206.07593295535239</v>
      </c>
      <c r="N293">
        <f t="shared" si="13"/>
        <v>41.924067044647614</v>
      </c>
      <c r="O293">
        <f t="shared" si="14"/>
        <v>1757.6273975641082</v>
      </c>
    </row>
    <row r="294" spans="1:15" x14ac:dyDescent="0.25">
      <c r="A294">
        <v>9.0155988252676577E-3</v>
      </c>
      <c r="B294">
        <v>-4.4641636506989137E-2</v>
      </c>
      <c r="C294">
        <v>-2.2373135244019071E-2</v>
      </c>
      <c r="D294">
        <v>-3.2077089277521231E-2</v>
      </c>
      <c r="E294">
        <v>-4.9727309857250483E-2</v>
      </c>
      <c r="F294">
        <v>-6.8640796710968732E-2</v>
      </c>
      <c r="G294">
        <v>7.809320188284416E-2</v>
      </c>
      <c r="H294">
        <v>-7.0859335618616806E-2</v>
      </c>
      <c r="I294">
        <v>-6.2916879143655444E-2</v>
      </c>
      <c r="J294">
        <v>-3.8356659733976069E-2</v>
      </c>
      <c r="K294">
        <v>84</v>
      </c>
      <c r="M294">
        <f t="shared" si="12"/>
        <v>93.472155001948536</v>
      </c>
      <c r="N294">
        <f t="shared" si="13"/>
        <v>-9.4721550019485363</v>
      </c>
      <c r="O294">
        <f t="shared" si="14"/>
        <v>89.721720380938677</v>
      </c>
    </row>
    <row r="295" spans="1:15" x14ac:dyDescent="0.25">
      <c r="A295">
        <v>-7.0900247097159586E-2</v>
      </c>
      <c r="B295">
        <v>-4.4641636506989137E-2</v>
      </c>
      <c r="C295">
        <v>9.295275666122646E-2</v>
      </c>
      <c r="D295">
        <v>1.2679973408519171E-2</v>
      </c>
      <c r="E295">
        <v>2.0446285911006681E-2</v>
      </c>
      <c r="F295">
        <v>4.2526907224316159E-2</v>
      </c>
      <c r="G295">
        <v>7.7880799701838534E-4</v>
      </c>
      <c r="H295">
        <v>3.598276718895252E-4</v>
      </c>
      <c r="I295">
        <v>-5.4539640345100032E-2</v>
      </c>
      <c r="J295">
        <v>-1.0776975004659669E-3</v>
      </c>
      <c r="K295">
        <v>200</v>
      </c>
      <c r="M295">
        <f t="shared" si="12"/>
        <v>182.71416540861458</v>
      </c>
      <c r="N295">
        <f t="shared" si="13"/>
        <v>17.285834591385424</v>
      </c>
      <c r="O295">
        <f t="shared" si="14"/>
        <v>298.80007752073686</v>
      </c>
    </row>
    <row r="296" spans="1:15" x14ac:dyDescent="0.25">
      <c r="A296">
        <v>2.3545752629345339E-2</v>
      </c>
      <c r="B296">
        <v>5.0680118739818619E-2</v>
      </c>
      <c r="C296">
        <v>-3.0995631835065481E-2</v>
      </c>
      <c r="D296">
        <v>-5.67042229275739E-3</v>
      </c>
      <c r="E296">
        <v>-1.6704441260423579E-2</v>
      </c>
      <c r="F296">
        <v>1.77881787429429E-2</v>
      </c>
      <c r="G296">
        <v>-3.2355932239764087E-2</v>
      </c>
      <c r="H296">
        <v>-2.592261998183278E-3</v>
      </c>
      <c r="I296">
        <v>-7.4092607943469349E-2</v>
      </c>
      <c r="J296">
        <v>-3.4214552819141618E-2</v>
      </c>
      <c r="K296">
        <v>55</v>
      </c>
      <c r="M296">
        <f t="shared" si="12"/>
        <v>94.464426750652905</v>
      </c>
      <c r="N296">
        <f t="shared" si="13"/>
        <v>-39.464426750652905</v>
      </c>
      <c r="O296">
        <f t="shared" si="14"/>
        <v>1557.4409787576485</v>
      </c>
    </row>
    <row r="297" spans="1:15" x14ac:dyDescent="0.25">
      <c r="A297">
        <v>-5.2737554842062502E-2</v>
      </c>
      <c r="B297">
        <v>5.0680118739818619E-2</v>
      </c>
      <c r="C297">
        <v>3.9062152967186493E-2</v>
      </c>
      <c r="D297">
        <v>-4.0098932051250001E-2</v>
      </c>
      <c r="E297">
        <v>-5.6968183948146092E-3</v>
      </c>
      <c r="F297">
        <v>-1.290037051243151E-2</v>
      </c>
      <c r="G297">
        <v>1.182372140927921E-2</v>
      </c>
      <c r="H297">
        <v>-3.9493382874093291E-2</v>
      </c>
      <c r="I297">
        <v>1.6306823139527551E-2</v>
      </c>
      <c r="J297">
        <v>3.064409414368488E-3</v>
      </c>
      <c r="K297">
        <v>85</v>
      </c>
      <c r="M297">
        <f t="shared" si="12"/>
        <v>170.16379113040077</v>
      </c>
      <c r="N297">
        <f t="shared" si="13"/>
        <v>-85.163791130400767</v>
      </c>
      <c r="O297">
        <f t="shared" si="14"/>
        <v>7252.8713197025281</v>
      </c>
    </row>
    <row r="298" spans="1:15" x14ac:dyDescent="0.25">
      <c r="A298">
        <v>6.7136214041578379E-2</v>
      </c>
      <c r="B298">
        <v>-4.4641636506989137E-2</v>
      </c>
      <c r="C298">
        <v>-6.1174369903727883E-2</v>
      </c>
      <c r="D298">
        <v>-4.0098932051250001E-2</v>
      </c>
      <c r="E298">
        <v>-2.6336111267831419E-2</v>
      </c>
      <c r="F298">
        <v>-2.4486863598644309E-2</v>
      </c>
      <c r="G298">
        <v>3.3913548233800862E-2</v>
      </c>
      <c r="H298">
        <v>-3.9493382874093291E-2</v>
      </c>
      <c r="I298">
        <v>-5.6153102007063332E-2</v>
      </c>
      <c r="J298">
        <v>-5.9067194308148351E-2</v>
      </c>
      <c r="K298">
        <v>89</v>
      </c>
      <c r="M298">
        <f t="shared" si="12"/>
        <v>73.527461980172774</v>
      </c>
      <c r="N298">
        <f t="shared" si="13"/>
        <v>15.472538019827226</v>
      </c>
      <c r="O298">
        <f t="shared" si="14"/>
        <v>239.39943277499901</v>
      </c>
    </row>
    <row r="299" spans="1:15" x14ac:dyDescent="0.25">
      <c r="A299">
        <v>1.750521923228816E-3</v>
      </c>
      <c r="B299">
        <v>-4.4641636506989137E-2</v>
      </c>
      <c r="C299">
        <v>-8.3615782835686752E-3</v>
      </c>
      <c r="D299">
        <v>-6.4198888882194827E-2</v>
      </c>
      <c r="E299">
        <v>-3.8719686991641522E-2</v>
      </c>
      <c r="F299">
        <v>-2.4486863598644309E-2</v>
      </c>
      <c r="G299">
        <v>4.4604458011053274E-3</v>
      </c>
      <c r="H299">
        <v>-3.9493382874093291E-2</v>
      </c>
      <c r="I299">
        <v>-6.468530604998815E-2</v>
      </c>
      <c r="J299">
        <v>-5.4925087393313893E-2</v>
      </c>
      <c r="K299">
        <v>31</v>
      </c>
      <c r="M299">
        <f t="shared" si="12"/>
        <v>94.119070396326464</v>
      </c>
      <c r="N299">
        <f t="shared" si="13"/>
        <v>-63.119070396326464</v>
      </c>
      <c r="O299">
        <f t="shared" si="14"/>
        <v>3984.0170476964158</v>
      </c>
    </row>
    <row r="300" spans="1:15" x14ac:dyDescent="0.25">
      <c r="A300">
        <v>2.3545752629345339E-2</v>
      </c>
      <c r="B300">
        <v>5.0680118739818619E-2</v>
      </c>
      <c r="C300">
        <v>-3.7462504278350288E-2</v>
      </c>
      <c r="D300">
        <v>-4.6984634002948528E-2</v>
      </c>
      <c r="E300">
        <v>-9.1005895603284107E-2</v>
      </c>
      <c r="F300">
        <v>-7.5530062870338491E-2</v>
      </c>
      <c r="G300">
        <v>-3.2355932239764087E-2</v>
      </c>
      <c r="H300">
        <v>-3.9493382874093291E-2</v>
      </c>
      <c r="I300">
        <v>-3.0747917533098211E-2</v>
      </c>
      <c r="J300">
        <v>-1.350401824496934E-2</v>
      </c>
      <c r="K300">
        <v>129</v>
      </c>
      <c r="M300">
        <f t="shared" si="12"/>
        <v>99.698513782830645</v>
      </c>
      <c r="N300">
        <f t="shared" si="13"/>
        <v>29.301486217169355</v>
      </c>
      <c r="O300">
        <f t="shared" si="14"/>
        <v>858.57709453496568</v>
      </c>
    </row>
    <row r="301" spans="1:15" x14ac:dyDescent="0.25">
      <c r="A301">
        <v>3.8075906433423033E-2</v>
      </c>
      <c r="B301">
        <v>5.0680118739818619E-2</v>
      </c>
      <c r="C301">
        <v>-1.375063865297267E-2</v>
      </c>
      <c r="D301">
        <v>-1.5998975220305179E-2</v>
      </c>
      <c r="E301">
        <v>-3.5967781275239273E-2</v>
      </c>
      <c r="F301">
        <v>-2.1981675904328011E-2</v>
      </c>
      <c r="G301">
        <v>-1.394774321932938E-2</v>
      </c>
      <c r="H301">
        <v>-2.592261998183278E-3</v>
      </c>
      <c r="I301">
        <v>-2.5953110560258001E-2</v>
      </c>
      <c r="J301">
        <v>-1.0776975004659669E-3</v>
      </c>
      <c r="K301">
        <v>83</v>
      </c>
      <c r="M301">
        <f t="shared" si="12"/>
        <v>126.85806514235198</v>
      </c>
      <c r="N301">
        <f t="shared" si="13"/>
        <v>-43.858065142351975</v>
      </c>
      <c r="O301">
        <f t="shared" si="14"/>
        <v>1923.5298780307894</v>
      </c>
    </row>
    <row r="302" spans="1:15" x14ac:dyDescent="0.25">
      <c r="A302">
        <v>1.6280675727306501E-2</v>
      </c>
      <c r="B302">
        <v>-4.4641636506989137E-2</v>
      </c>
      <c r="C302">
        <v>7.3552139331372099E-2</v>
      </c>
      <c r="D302">
        <v>-4.1235072873280251E-2</v>
      </c>
      <c r="E302">
        <v>-4.320865536613489E-3</v>
      </c>
      <c r="F302">
        <v>-1.352666743601059E-2</v>
      </c>
      <c r="G302">
        <v>-1.394774321932938E-2</v>
      </c>
      <c r="H302">
        <v>-1.1162171631468769E-3</v>
      </c>
      <c r="I302">
        <v>4.2897035952787863E-2</v>
      </c>
      <c r="J302">
        <v>4.4485478562713038E-2</v>
      </c>
      <c r="K302">
        <v>275</v>
      </c>
      <c r="M302">
        <f t="shared" si="12"/>
        <v>207.19586865452789</v>
      </c>
      <c r="N302">
        <f t="shared" si="13"/>
        <v>67.804131345472115</v>
      </c>
      <c r="O302">
        <f t="shared" si="14"/>
        <v>4597.4002275140338</v>
      </c>
    </row>
    <row r="303" spans="1:15" x14ac:dyDescent="0.25">
      <c r="A303">
        <v>-1.8820165277906051E-3</v>
      </c>
      <c r="B303">
        <v>5.0680118739818619E-2</v>
      </c>
      <c r="C303">
        <v>-2.4528759391780671E-2</v>
      </c>
      <c r="D303">
        <v>5.2858044296680062E-2</v>
      </c>
      <c r="E303">
        <v>2.732605020201229E-2</v>
      </c>
      <c r="F303">
        <v>3.0000968752734759E-2</v>
      </c>
      <c r="G303">
        <v>3.0231910429713921E-2</v>
      </c>
      <c r="H303">
        <v>-2.592261998183278E-3</v>
      </c>
      <c r="I303">
        <v>-2.1395309255276829E-2</v>
      </c>
      <c r="J303">
        <v>3.6201264733044143E-2</v>
      </c>
      <c r="K303">
        <v>65</v>
      </c>
      <c r="M303">
        <f t="shared" si="12"/>
        <v>141.75770184673715</v>
      </c>
      <c r="N303">
        <f t="shared" si="13"/>
        <v>-76.757701846737149</v>
      </c>
      <c r="O303">
        <f t="shared" si="14"/>
        <v>5891.7447927925959</v>
      </c>
    </row>
    <row r="304" spans="1:15" x14ac:dyDescent="0.25">
      <c r="A304">
        <v>1.264813727628708E-2</v>
      </c>
      <c r="B304">
        <v>-4.4641636506989137E-2</v>
      </c>
      <c r="C304">
        <v>3.3673092597782492E-2</v>
      </c>
      <c r="D304">
        <v>3.3337079263614733E-2</v>
      </c>
      <c r="E304">
        <v>3.0077955918414539E-2</v>
      </c>
      <c r="F304">
        <v>2.718263259662897E-2</v>
      </c>
      <c r="G304">
        <v>-2.9028298070685561E-3</v>
      </c>
      <c r="H304">
        <v>8.8470854733488109E-3</v>
      </c>
      <c r="I304">
        <v>3.119260220159616E-2</v>
      </c>
      <c r="J304">
        <v>2.7917050903375221E-2</v>
      </c>
      <c r="K304">
        <v>198</v>
      </c>
      <c r="M304">
        <f t="shared" si="12"/>
        <v>197.42379064366742</v>
      </c>
      <c r="N304">
        <f t="shared" si="13"/>
        <v>0.57620935633258341</v>
      </c>
      <c r="O304">
        <f t="shared" si="14"/>
        <v>0.33201722232521008</v>
      </c>
    </row>
    <row r="305" spans="1:15" x14ac:dyDescent="0.25">
      <c r="A305">
        <v>7.4401290943617221E-2</v>
      </c>
      <c r="B305">
        <v>-4.4641636506989137E-2</v>
      </c>
      <c r="C305">
        <v>3.4750904671663307E-2</v>
      </c>
      <c r="D305">
        <v>9.4172256006871194E-2</v>
      </c>
      <c r="E305">
        <v>5.7597013082436949E-2</v>
      </c>
      <c r="F305">
        <v>2.0293366437259191E-2</v>
      </c>
      <c r="G305">
        <v>2.2868634821540029E-2</v>
      </c>
      <c r="H305">
        <v>-2.592261998183278E-3</v>
      </c>
      <c r="I305">
        <v>7.3798928800560368E-2</v>
      </c>
      <c r="J305">
        <v>-2.1788232074638241E-2</v>
      </c>
      <c r="K305">
        <v>236</v>
      </c>
      <c r="M305">
        <f t="shared" si="12"/>
        <v>232.54441444360759</v>
      </c>
      <c r="N305">
        <f t="shared" si="13"/>
        <v>3.4555855563924069</v>
      </c>
      <c r="O305">
        <f t="shared" si="14"/>
        <v>11.94107153754782</v>
      </c>
    </row>
    <row r="306" spans="1:15" x14ac:dyDescent="0.25">
      <c r="A306">
        <v>4.170844488444244E-2</v>
      </c>
      <c r="B306">
        <v>5.0680118739818619E-2</v>
      </c>
      <c r="C306">
        <v>-3.8540316352231069E-2</v>
      </c>
      <c r="D306">
        <v>5.2858044296680062E-2</v>
      </c>
      <c r="E306">
        <v>7.6860353097252643E-2</v>
      </c>
      <c r="F306">
        <v>0.1164299442066464</v>
      </c>
      <c r="G306">
        <v>-3.9719207847937969E-2</v>
      </c>
      <c r="H306">
        <v>7.1209979753636743E-2</v>
      </c>
      <c r="I306">
        <v>-2.2516528376302171E-2</v>
      </c>
      <c r="J306">
        <v>-1.350401824496934E-2</v>
      </c>
      <c r="K306">
        <v>253</v>
      </c>
      <c r="M306">
        <f t="shared" si="12"/>
        <v>136.44217188777566</v>
      </c>
      <c r="N306">
        <f t="shared" si="13"/>
        <v>116.55782811222434</v>
      </c>
      <c r="O306">
        <f t="shared" si="14"/>
        <v>13585.727294238835</v>
      </c>
    </row>
    <row r="307" spans="1:15" x14ac:dyDescent="0.25">
      <c r="A307">
        <v>-9.1470934298294448E-3</v>
      </c>
      <c r="B307">
        <v>5.0680118739818619E-2</v>
      </c>
      <c r="C307">
        <v>-3.9618128426111877E-2</v>
      </c>
      <c r="D307">
        <v>-4.0098932051250001E-2</v>
      </c>
      <c r="E307">
        <v>-8.4487241112168512E-3</v>
      </c>
      <c r="F307">
        <v>1.6222436433995228E-2</v>
      </c>
      <c r="G307">
        <v>-6.5490672476546552E-2</v>
      </c>
      <c r="H307">
        <v>7.1209979753636743E-2</v>
      </c>
      <c r="I307">
        <v>1.7765319557121531E-2</v>
      </c>
      <c r="J307">
        <v>-6.7351408137817259E-2</v>
      </c>
      <c r="K307">
        <v>124</v>
      </c>
      <c r="M307">
        <f t="shared" si="12"/>
        <v>130.13023223200278</v>
      </c>
      <c r="N307">
        <f t="shared" si="13"/>
        <v>-6.1302322320027827</v>
      </c>
      <c r="O307">
        <f t="shared" si="14"/>
        <v>37.579747218285817</v>
      </c>
    </row>
    <row r="308" spans="1:15" x14ac:dyDescent="0.25">
      <c r="A308">
        <v>9.0155988252676577E-3</v>
      </c>
      <c r="B308">
        <v>5.0680118739818619E-2</v>
      </c>
      <c r="C308">
        <v>-1.8947058402839011E-3</v>
      </c>
      <c r="D308">
        <v>2.18723855140367E-2</v>
      </c>
      <c r="E308">
        <v>-3.8719686991641522E-2</v>
      </c>
      <c r="F308">
        <v>-2.4800012060433849E-2</v>
      </c>
      <c r="G308">
        <v>-6.584467611155497E-3</v>
      </c>
      <c r="H308">
        <v>-3.9493382874093291E-2</v>
      </c>
      <c r="I308">
        <v>-3.9808826527400823E-2</v>
      </c>
      <c r="J308">
        <v>-1.350401824496934E-2</v>
      </c>
      <c r="K308">
        <v>44</v>
      </c>
      <c r="M308">
        <f t="shared" si="12"/>
        <v>133.77554165275242</v>
      </c>
      <c r="N308">
        <f t="shared" si="13"/>
        <v>-89.775541652752423</v>
      </c>
      <c r="O308">
        <f t="shared" si="14"/>
        <v>8059.6478790450856</v>
      </c>
    </row>
    <row r="309" spans="1:15" x14ac:dyDescent="0.25">
      <c r="A309">
        <v>6.7136214041578379E-2</v>
      </c>
      <c r="B309">
        <v>5.0680118739818619E-2</v>
      </c>
      <c r="C309">
        <v>-3.0995631835065481E-2</v>
      </c>
      <c r="D309">
        <v>4.6581306347903946E-3</v>
      </c>
      <c r="E309">
        <v>2.4574144485610051E-2</v>
      </c>
      <c r="F309">
        <v>3.5637641064946379E-2</v>
      </c>
      <c r="G309">
        <v>-2.867429443567714E-2</v>
      </c>
      <c r="H309">
        <v>3.4308858877726729E-2</v>
      </c>
      <c r="I309">
        <v>2.337141516224845E-2</v>
      </c>
      <c r="J309">
        <v>8.1764440796223151E-2</v>
      </c>
      <c r="K309">
        <v>172</v>
      </c>
      <c r="M309">
        <f t="shared" si="12"/>
        <v>151.73757471609031</v>
      </c>
      <c r="N309">
        <f t="shared" si="13"/>
        <v>20.262425283909693</v>
      </c>
      <c r="O309">
        <f t="shared" si="14"/>
        <v>410.5658783860228</v>
      </c>
    </row>
    <row r="310" spans="1:15" x14ac:dyDescent="0.25">
      <c r="A310">
        <v>1.750521923228816E-3</v>
      </c>
      <c r="B310">
        <v>-4.4641636506989137E-2</v>
      </c>
      <c r="C310">
        <v>-4.608500086939666E-2</v>
      </c>
      <c r="D310">
        <v>-3.3213230099551481E-2</v>
      </c>
      <c r="E310">
        <v>-7.3118508446669533E-2</v>
      </c>
      <c r="F310">
        <v>-8.1479883644339654E-2</v>
      </c>
      <c r="G310">
        <v>4.4958461646061681E-2</v>
      </c>
      <c r="H310">
        <v>-6.9383290783580409E-2</v>
      </c>
      <c r="I310">
        <v>-6.1175799045152628E-2</v>
      </c>
      <c r="J310">
        <v>-7.9777728882320625E-2</v>
      </c>
      <c r="K310">
        <v>114</v>
      </c>
      <c r="M310">
        <f t="shared" si="12"/>
        <v>78.946982920562746</v>
      </c>
      <c r="N310">
        <f t="shared" si="13"/>
        <v>35.053017079437254</v>
      </c>
      <c r="O310">
        <f t="shared" si="14"/>
        <v>1228.7140063713198</v>
      </c>
    </row>
    <row r="311" spans="1:15" x14ac:dyDescent="0.25">
      <c r="A311">
        <v>-9.1470934298294448E-3</v>
      </c>
      <c r="B311">
        <v>5.0680118739818619E-2</v>
      </c>
      <c r="C311">
        <v>1.338730381358506E-3</v>
      </c>
      <c r="D311">
        <v>-2.2275713169081289E-3</v>
      </c>
      <c r="E311">
        <v>7.9612258813654885E-2</v>
      </c>
      <c r="F311">
        <v>7.0083971861795213E-2</v>
      </c>
      <c r="G311">
        <v>3.3913548233800862E-2</v>
      </c>
      <c r="H311">
        <v>-2.592261998183278E-3</v>
      </c>
      <c r="I311">
        <v>2.6716841320104621E-2</v>
      </c>
      <c r="J311">
        <v>8.1764440796223151E-2</v>
      </c>
      <c r="K311">
        <v>142</v>
      </c>
      <c r="M311">
        <f t="shared" si="12"/>
        <v>168.03725162994499</v>
      </c>
      <c r="N311">
        <f t="shared" si="13"/>
        <v>-26.03725162994499</v>
      </c>
      <c r="O311">
        <f t="shared" si="14"/>
        <v>677.93847244107303</v>
      </c>
    </row>
    <row r="312" spans="1:15" x14ac:dyDescent="0.25">
      <c r="A312">
        <v>-5.5145549788100249E-3</v>
      </c>
      <c r="B312">
        <v>-4.4641636506989137E-2</v>
      </c>
      <c r="C312">
        <v>6.4929642740325658E-2</v>
      </c>
      <c r="D312">
        <v>3.5643789417433749E-2</v>
      </c>
      <c r="E312">
        <v>-1.568959820211247E-3</v>
      </c>
      <c r="F312">
        <v>1.49698425868371E-2</v>
      </c>
      <c r="G312">
        <v>-1.394774321932938E-2</v>
      </c>
      <c r="H312">
        <v>7.2883888064861739E-4</v>
      </c>
      <c r="I312">
        <v>-1.8113692315690318E-2</v>
      </c>
      <c r="J312">
        <v>3.2059157818209678E-2</v>
      </c>
      <c r="K312">
        <v>109</v>
      </c>
      <c r="M312">
        <f t="shared" si="12"/>
        <v>191.40476396145294</v>
      </c>
      <c r="N312">
        <f t="shared" si="13"/>
        <v>-82.404763961452943</v>
      </c>
      <c r="O312">
        <f t="shared" si="14"/>
        <v>6790.5451235427736</v>
      </c>
    </row>
    <row r="313" spans="1:15" x14ac:dyDescent="0.25">
      <c r="A313">
        <v>9.619652164973376E-2</v>
      </c>
      <c r="B313">
        <v>-4.4641636506989137E-2</v>
      </c>
      <c r="C313">
        <v>4.0139965041067309E-2</v>
      </c>
      <c r="D313">
        <v>-5.7313186930496307E-2</v>
      </c>
      <c r="E313">
        <v>4.5213437358626873E-2</v>
      </c>
      <c r="F313">
        <v>6.0689518008109171E-2</v>
      </c>
      <c r="G313">
        <v>-2.1311018827503261E-2</v>
      </c>
      <c r="H313">
        <v>3.6153914921522222E-2</v>
      </c>
      <c r="I313">
        <v>1.2551194864223059E-2</v>
      </c>
      <c r="J313">
        <v>2.377494398854077E-2</v>
      </c>
      <c r="K313">
        <v>180</v>
      </c>
      <c r="M313">
        <f t="shared" si="12"/>
        <v>170.29896161457179</v>
      </c>
      <c r="N313">
        <f t="shared" si="13"/>
        <v>9.7010383854282054</v>
      </c>
      <c r="O313">
        <f t="shared" si="14"/>
        <v>94.110145755551486</v>
      </c>
    </row>
    <row r="314" spans="1:15" x14ac:dyDescent="0.25">
      <c r="A314">
        <v>-7.4532785548179006E-2</v>
      </c>
      <c r="B314">
        <v>-4.4641636506989137E-2</v>
      </c>
      <c r="C314">
        <v>-2.345094731789989E-2</v>
      </c>
      <c r="D314">
        <v>-5.67042229275739E-3</v>
      </c>
      <c r="E314">
        <v>-2.0832299835026939E-2</v>
      </c>
      <c r="F314">
        <v>-1.415296435958964E-2</v>
      </c>
      <c r="G314">
        <v>1.5505359213366149E-2</v>
      </c>
      <c r="H314">
        <v>-3.9493382874093291E-2</v>
      </c>
      <c r="I314">
        <v>-3.8459717341126382E-2</v>
      </c>
      <c r="J314">
        <v>-3.007244590430716E-2</v>
      </c>
      <c r="K314">
        <v>144</v>
      </c>
      <c r="M314">
        <f t="shared" si="12"/>
        <v>114.19750512119097</v>
      </c>
      <c r="N314">
        <f t="shared" si="13"/>
        <v>29.802494878809028</v>
      </c>
      <c r="O314">
        <f t="shared" si="14"/>
        <v>888.1887010014384</v>
      </c>
    </row>
    <row r="315" spans="1:15" x14ac:dyDescent="0.25">
      <c r="A315">
        <v>5.9871137139539538E-2</v>
      </c>
      <c r="B315">
        <v>5.0680118739818619E-2</v>
      </c>
      <c r="C315">
        <v>5.3073709927636888E-2</v>
      </c>
      <c r="D315">
        <v>5.2858044296680062E-2</v>
      </c>
      <c r="E315">
        <v>3.282986163481677E-2</v>
      </c>
      <c r="F315">
        <v>1.9667069513680122E-2</v>
      </c>
      <c r="G315">
        <v>-1.026610541524244E-2</v>
      </c>
      <c r="H315">
        <v>3.4308858877726729E-2</v>
      </c>
      <c r="I315">
        <v>5.5203099476237132E-2</v>
      </c>
      <c r="J315">
        <v>-1.0776975004659669E-3</v>
      </c>
      <c r="K315">
        <v>163</v>
      </c>
      <c r="M315">
        <f t="shared" si="12"/>
        <v>226.54977601052212</v>
      </c>
      <c r="N315">
        <f t="shared" si="13"/>
        <v>-63.549776010522123</v>
      </c>
      <c r="O315">
        <f t="shared" si="14"/>
        <v>4038.5740309875332</v>
      </c>
    </row>
    <row r="316" spans="1:15" x14ac:dyDescent="0.25">
      <c r="A316">
        <v>-2.3677247233907128E-2</v>
      </c>
      <c r="B316">
        <v>-4.4641636506989137E-2</v>
      </c>
      <c r="C316">
        <v>4.0139965041067309E-2</v>
      </c>
      <c r="D316">
        <v>-1.255612424445591E-2</v>
      </c>
      <c r="E316">
        <v>-9.8246769694179722E-3</v>
      </c>
      <c r="F316">
        <v>-1.000728964429191E-3</v>
      </c>
      <c r="G316">
        <v>-2.9028298070685561E-3</v>
      </c>
      <c r="H316">
        <v>-2.592261998183278E-3</v>
      </c>
      <c r="I316">
        <v>-1.189685133569598E-2</v>
      </c>
      <c r="J316">
        <v>-3.8356659733976069E-2</v>
      </c>
      <c r="K316">
        <v>147</v>
      </c>
      <c r="M316">
        <f t="shared" si="12"/>
        <v>165.08450313272354</v>
      </c>
      <c r="N316">
        <f t="shared" si="13"/>
        <v>-18.08450313272354</v>
      </c>
      <c r="O316">
        <f t="shared" si="14"/>
        <v>327.04925355748753</v>
      </c>
    </row>
    <row r="317" spans="1:15" x14ac:dyDescent="0.25">
      <c r="A317">
        <v>9.0155988252676577E-3</v>
      </c>
      <c r="B317">
        <v>-4.4641636506989137E-2</v>
      </c>
      <c r="C317">
        <v>-2.0217511096257489E-2</v>
      </c>
      <c r="D317">
        <v>-5.3870335954647047E-2</v>
      </c>
      <c r="E317">
        <v>3.1453908776615649E-2</v>
      </c>
      <c r="F317">
        <v>2.060651489904871E-2</v>
      </c>
      <c r="G317">
        <v>5.6003375058322508E-2</v>
      </c>
      <c r="H317">
        <v>-3.9493382874093291E-2</v>
      </c>
      <c r="I317">
        <v>-1.0903250651210131E-2</v>
      </c>
      <c r="J317">
        <v>-1.0776975004659669E-3</v>
      </c>
      <c r="K317">
        <v>97</v>
      </c>
      <c r="M317">
        <f t="shared" si="12"/>
        <v>118.26812613391658</v>
      </c>
      <c r="N317">
        <f t="shared" si="13"/>
        <v>-21.268126133916581</v>
      </c>
      <c r="O317">
        <f t="shared" si="14"/>
        <v>452.33318924818548</v>
      </c>
    </row>
    <row r="318" spans="1:15" x14ac:dyDescent="0.25">
      <c r="A318">
        <v>1.6280675727306501E-2</v>
      </c>
      <c r="B318">
        <v>5.0680118739818619E-2</v>
      </c>
      <c r="C318">
        <v>1.4272475267928089E-2</v>
      </c>
      <c r="D318">
        <v>1.2152796589411331E-3</v>
      </c>
      <c r="E318">
        <v>1.182945896190995E-3</v>
      </c>
      <c r="F318">
        <v>-2.1355378980748959E-2</v>
      </c>
      <c r="G318">
        <v>-3.2355932239764087E-2</v>
      </c>
      <c r="H318">
        <v>3.4308858877726729E-2</v>
      </c>
      <c r="I318">
        <v>7.4965725934635505E-2</v>
      </c>
      <c r="J318">
        <v>4.0343371647878587E-2</v>
      </c>
      <c r="K318">
        <v>220</v>
      </c>
      <c r="M318">
        <f t="shared" si="12"/>
        <v>201.65296674338609</v>
      </c>
      <c r="N318">
        <f t="shared" si="13"/>
        <v>18.347033256613912</v>
      </c>
      <c r="O318">
        <f t="shared" si="14"/>
        <v>336.61362931929688</v>
      </c>
    </row>
    <row r="319" spans="1:15" x14ac:dyDescent="0.25">
      <c r="A319">
        <v>1.9913214178325919E-2</v>
      </c>
      <c r="B319">
        <v>-4.4641636506989137E-2</v>
      </c>
      <c r="C319">
        <v>-3.422906805670789E-2</v>
      </c>
      <c r="D319">
        <v>5.5164754450499058E-2</v>
      </c>
      <c r="E319">
        <v>6.7228683089844796E-2</v>
      </c>
      <c r="F319">
        <v>7.4154901865059214E-2</v>
      </c>
      <c r="G319">
        <v>-6.584467611155497E-3</v>
      </c>
      <c r="H319">
        <v>3.2832814042690332E-2</v>
      </c>
      <c r="I319">
        <v>2.472963995113284E-2</v>
      </c>
      <c r="J319">
        <v>6.9338120051719784E-2</v>
      </c>
      <c r="K319">
        <v>190</v>
      </c>
      <c r="M319">
        <f t="shared" si="12"/>
        <v>163.04935890118941</v>
      </c>
      <c r="N319">
        <f t="shared" si="13"/>
        <v>26.950641098810593</v>
      </c>
      <c r="O319">
        <f t="shared" si="14"/>
        <v>726.33705563689864</v>
      </c>
    </row>
    <row r="320" spans="1:15" x14ac:dyDescent="0.25">
      <c r="A320">
        <v>8.8931444747694904E-2</v>
      </c>
      <c r="B320">
        <v>-4.4641636506989137E-2</v>
      </c>
      <c r="C320">
        <v>6.7277907507625042E-3</v>
      </c>
      <c r="D320">
        <v>2.531523648988596E-2</v>
      </c>
      <c r="E320">
        <v>3.0077955918414539E-2</v>
      </c>
      <c r="F320">
        <v>8.7068733510463955E-3</v>
      </c>
      <c r="G320">
        <v>6.3366650666496382E-2</v>
      </c>
      <c r="H320">
        <v>-3.9493382874093291E-2</v>
      </c>
      <c r="I320">
        <v>9.4336587716159874E-3</v>
      </c>
      <c r="J320">
        <v>3.2059157818209678E-2</v>
      </c>
      <c r="K320">
        <v>109</v>
      </c>
      <c r="M320">
        <f t="shared" si="12"/>
        <v>165.61711645835922</v>
      </c>
      <c r="N320">
        <f t="shared" si="13"/>
        <v>-56.61711645835922</v>
      </c>
      <c r="O320">
        <f t="shared" si="14"/>
        <v>3205.4978760594104</v>
      </c>
    </row>
    <row r="321" spans="1:15" x14ac:dyDescent="0.25">
      <c r="A321">
        <v>1.9913214178325919E-2</v>
      </c>
      <c r="B321">
        <v>-4.4641636506989137E-2</v>
      </c>
      <c r="C321">
        <v>4.5721666030009121E-3</v>
      </c>
      <c r="D321">
        <v>4.5972342344981529E-2</v>
      </c>
      <c r="E321">
        <v>-1.80803941186247E-2</v>
      </c>
      <c r="F321">
        <v>-5.4549115930439672E-2</v>
      </c>
      <c r="G321">
        <v>6.3366650666496382E-2</v>
      </c>
      <c r="H321">
        <v>-3.9493382874093291E-2</v>
      </c>
      <c r="I321">
        <v>2.8658464676026611E-2</v>
      </c>
      <c r="J321">
        <v>6.1053906222050869E-2</v>
      </c>
      <c r="K321">
        <v>191</v>
      </c>
      <c r="M321">
        <f t="shared" si="12"/>
        <v>180.15374843892627</v>
      </c>
      <c r="N321">
        <f t="shared" si="13"/>
        <v>10.846251561073728</v>
      </c>
      <c r="O321">
        <f t="shared" si="14"/>
        <v>117.64117292609428</v>
      </c>
    </row>
    <row r="322" spans="1:15" x14ac:dyDescent="0.25">
      <c r="A322">
        <v>-2.3677247233907128E-2</v>
      </c>
      <c r="B322">
        <v>-4.4641636506989137E-2</v>
      </c>
      <c r="C322">
        <v>3.043965637614009E-2</v>
      </c>
      <c r="D322">
        <v>-5.67042229275739E-3</v>
      </c>
      <c r="E322">
        <v>8.2364164530057127E-2</v>
      </c>
      <c r="F322">
        <v>9.2004364187062662E-2</v>
      </c>
      <c r="G322">
        <v>-1.762938102341632E-2</v>
      </c>
      <c r="H322">
        <v>7.1209979753636743E-2</v>
      </c>
      <c r="I322">
        <v>3.3043069531418501E-2</v>
      </c>
      <c r="J322">
        <v>3.064409414368488E-3</v>
      </c>
      <c r="K322">
        <v>122</v>
      </c>
      <c r="M322">
        <f t="shared" si="12"/>
        <v>189.8448907541547</v>
      </c>
      <c r="N322">
        <f t="shared" si="13"/>
        <v>-67.844890754154704</v>
      </c>
      <c r="O322">
        <f t="shared" si="14"/>
        <v>4602.9292014431867</v>
      </c>
    </row>
    <row r="323" spans="1:15" x14ac:dyDescent="0.25">
      <c r="A323">
        <v>9.619652164973376E-2</v>
      </c>
      <c r="B323">
        <v>-4.4641636506989137E-2</v>
      </c>
      <c r="C323">
        <v>5.1995897853756072E-2</v>
      </c>
      <c r="D323">
        <v>7.9264711281443898E-2</v>
      </c>
      <c r="E323">
        <v>5.4845107366034707E-2</v>
      </c>
      <c r="F323">
        <v>3.6577086450315023E-2</v>
      </c>
      <c r="G323">
        <v>-7.6535585888807392E-2</v>
      </c>
      <c r="H323">
        <v>0.1413221094178658</v>
      </c>
      <c r="I323">
        <v>9.8648061515317798E-2</v>
      </c>
      <c r="J323">
        <v>6.1053906222050869E-2</v>
      </c>
      <c r="K323">
        <v>230</v>
      </c>
      <c r="M323">
        <f t="shared" ref="M323:M386" si="15">$A$446 + SUMPRODUCT($B$446:$K$446, A323:J323)</f>
        <v>263.56925275299062</v>
      </c>
      <c r="N323">
        <f t="shared" ref="N323:N386" si="16">K323-M323</f>
        <v>-33.569252752990622</v>
      </c>
      <c r="O323">
        <f t="shared" ref="O323:O386" si="17">N323^2</f>
        <v>1126.8947303941684</v>
      </c>
    </row>
    <row r="324" spans="1:15" x14ac:dyDescent="0.25">
      <c r="A324">
        <v>2.3545752629345339E-2</v>
      </c>
      <c r="B324">
        <v>5.0680118739818619E-2</v>
      </c>
      <c r="C324">
        <v>6.1696206518683287E-2</v>
      </c>
      <c r="D324">
        <v>6.2050456402197592E-2</v>
      </c>
      <c r="E324">
        <v>2.4574144485610051E-2</v>
      </c>
      <c r="F324">
        <v>-3.6073356684857089E-2</v>
      </c>
      <c r="G324">
        <v>-9.1262137105155142E-2</v>
      </c>
      <c r="H324">
        <v>0.15534453535071149</v>
      </c>
      <c r="I324">
        <v>0.13339673866449431</v>
      </c>
      <c r="J324">
        <v>8.1764440796223151E-2</v>
      </c>
      <c r="K324">
        <v>242</v>
      </c>
      <c r="M324">
        <f t="shared" si="15"/>
        <v>283.67947638114953</v>
      </c>
      <c r="N324">
        <f t="shared" si="16"/>
        <v>-41.679476381149527</v>
      </c>
      <c r="O324">
        <f t="shared" si="17"/>
        <v>1737.1787514068012</v>
      </c>
    </row>
    <row r="325" spans="1:15" x14ac:dyDescent="0.25">
      <c r="A325">
        <v>7.07687524925978E-2</v>
      </c>
      <c r="B325">
        <v>5.0680118739818619E-2</v>
      </c>
      <c r="C325">
        <v>-7.2837662096878987E-3</v>
      </c>
      <c r="D325">
        <v>4.9415193320830803E-2</v>
      </c>
      <c r="E325">
        <v>6.0348918798839191E-2</v>
      </c>
      <c r="F325">
        <v>-4.4453620441140792E-3</v>
      </c>
      <c r="G325">
        <v>-5.4445759064285733E-2</v>
      </c>
      <c r="H325">
        <v>0.10811110062954681</v>
      </c>
      <c r="I325">
        <v>0.12902124941171239</v>
      </c>
      <c r="J325">
        <v>5.6911799307216418E-2</v>
      </c>
      <c r="K325">
        <v>248</v>
      </c>
      <c r="M325">
        <f t="shared" si="15"/>
        <v>233.86521929812261</v>
      </c>
      <c r="N325">
        <f t="shared" si="16"/>
        <v>14.134780701877389</v>
      </c>
      <c r="O325">
        <f t="shared" si="17"/>
        <v>199.79202549016546</v>
      </c>
    </row>
    <row r="326" spans="1:15" x14ac:dyDescent="0.25">
      <c r="A326">
        <v>3.0810829531384181E-2</v>
      </c>
      <c r="B326">
        <v>-4.4641636506989137E-2</v>
      </c>
      <c r="C326">
        <v>5.6499786768816887E-3</v>
      </c>
      <c r="D326">
        <v>1.154383258648892E-2</v>
      </c>
      <c r="E326">
        <v>7.8236305955453764E-2</v>
      </c>
      <c r="F326">
        <v>7.7912683406533595E-2</v>
      </c>
      <c r="G326">
        <v>-4.3400845652024907E-2</v>
      </c>
      <c r="H326">
        <v>0.10811110062954681</v>
      </c>
      <c r="I326">
        <v>6.6050666582092341E-2</v>
      </c>
      <c r="J326">
        <v>1.9632837073706309E-2</v>
      </c>
      <c r="K326">
        <v>249</v>
      </c>
      <c r="M326">
        <f t="shared" si="15"/>
        <v>199.2073866636859</v>
      </c>
      <c r="N326">
        <f t="shared" si="16"/>
        <v>49.792613336314105</v>
      </c>
      <c r="O326">
        <f t="shared" si="17"/>
        <v>2479.3043428596852</v>
      </c>
    </row>
    <row r="327" spans="1:15" x14ac:dyDescent="0.25">
      <c r="A327">
        <v>-1.8820165277906051E-3</v>
      </c>
      <c r="B327">
        <v>-4.4641636506989137E-2</v>
      </c>
      <c r="C327">
        <v>5.4151522001517662E-2</v>
      </c>
      <c r="D327">
        <v>-6.6505599036013843E-2</v>
      </c>
      <c r="E327">
        <v>7.273249452264928E-2</v>
      </c>
      <c r="F327">
        <v>5.6618588004845233E-2</v>
      </c>
      <c r="G327">
        <v>-4.3400845652024907E-2</v>
      </c>
      <c r="H327">
        <v>8.4863394477723439E-2</v>
      </c>
      <c r="I327">
        <v>8.4491530662046177E-2</v>
      </c>
      <c r="J327">
        <v>4.8627585477547502E-2</v>
      </c>
      <c r="K327">
        <v>192</v>
      </c>
      <c r="M327">
        <f t="shared" si="15"/>
        <v>215.96640310523387</v>
      </c>
      <c r="N327">
        <f t="shared" si="16"/>
        <v>-23.966403105233866</v>
      </c>
      <c r="O327">
        <f t="shared" si="17"/>
        <v>574.38847780256344</v>
      </c>
    </row>
    <row r="328" spans="1:15" x14ac:dyDescent="0.25">
      <c r="A328">
        <v>4.5340983335461861E-2</v>
      </c>
      <c r="B328">
        <v>5.0680118739818619E-2</v>
      </c>
      <c r="C328">
        <v>-8.3615782835686752E-3</v>
      </c>
      <c r="D328">
        <v>-3.3213230099551481E-2</v>
      </c>
      <c r="E328">
        <v>-7.072771253015731E-3</v>
      </c>
      <c r="F328">
        <v>1.1913102680975621E-3</v>
      </c>
      <c r="G328">
        <v>-3.9719207847937969E-2</v>
      </c>
      <c r="H328">
        <v>3.4308858877726729E-2</v>
      </c>
      <c r="I328">
        <v>2.993464904142137E-2</v>
      </c>
      <c r="J328">
        <v>2.7917050903375221E-2</v>
      </c>
      <c r="K328">
        <v>131</v>
      </c>
      <c r="M328">
        <f t="shared" si="15"/>
        <v>156.76491562507545</v>
      </c>
      <c r="N328">
        <f t="shared" si="16"/>
        <v>-25.764915625075446</v>
      </c>
      <c r="O328">
        <f t="shared" si="17"/>
        <v>663.83087716725686</v>
      </c>
    </row>
    <row r="329" spans="1:15" x14ac:dyDescent="0.25">
      <c r="A329">
        <v>7.4401290943617221E-2</v>
      </c>
      <c r="B329">
        <v>-4.4641636506989137E-2</v>
      </c>
      <c r="C329">
        <v>0.11450899813884249</v>
      </c>
      <c r="D329">
        <v>2.875808746573523E-2</v>
      </c>
      <c r="E329">
        <v>2.4574144485610051E-2</v>
      </c>
      <c r="F329">
        <v>2.4990593364102219E-2</v>
      </c>
      <c r="G329">
        <v>1.9186997017453088E-2</v>
      </c>
      <c r="H329">
        <v>-2.592261998183278E-3</v>
      </c>
      <c r="I329">
        <v>-6.1173530456262162E-4</v>
      </c>
      <c r="J329">
        <v>-5.2198044153004232E-3</v>
      </c>
      <c r="K329">
        <v>237</v>
      </c>
      <c r="M329">
        <f t="shared" si="15"/>
        <v>225.92918545368934</v>
      </c>
      <c r="N329">
        <f t="shared" si="16"/>
        <v>11.070814546310658</v>
      </c>
      <c r="O329">
        <f t="shared" si="17"/>
        <v>122.56293471880365</v>
      </c>
    </row>
    <row r="330" spans="1:15" x14ac:dyDescent="0.25">
      <c r="A330">
        <v>-3.8207401037984812E-2</v>
      </c>
      <c r="B330">
        <v>-4.4641636506989137E-2</v>
      </c>
      <c r="C330">
        <v>6.7085266888087303E-2</v>
      </c>
      <c r="D330">
        <v>-6.0756037906345567E-2</v>
      </c>
      <c r="E330">
        <v>-2.9088016984233661E-2</v>
      </c>
      <c r="F330">
        <v>-2.323426975148617E-2</v>
      </c>
      <c r="G330">
        <v>-1.026610541524244E-2</v>
      </c>
      <c r="H330">
        <v>-2.592261998183278E-3</v>
      </c>
      <c r="I330">
        <v>-1.495948757728936E-3</v>
      </c>
      <c r="J330">
        <v>1.9632837073706309E-2</v>
      </c>
      <c r="K330">
        <v>78</v>
      </c>
      <c r="M330">
        <f t="shared" si="15"/>
        <v>175.43659223343911</v>
      </c>
      <c r="N330">
        <f t="shared" si="16"/>
        <v>-97.436592233439114</v>
      </c>
      <c r="O330">
        <f t="shared" si="17"/>
        <v>9493.8895060654868</v>
      </c>
    </row>
    <row r="331" spans="1:15" x14ac:dyDescent="0.25">
      <c r="A331">
        <v>-1.2779631880848869E-2</v>
      </c>
      <c r="B331">
        <v>5.0680118739818619E-2</v>
      </c>
      <c r="C331">
        <v>-5.5785309534323882E-2</v>
      </c>
      <c r="D331">
        <v>-2.2275713169081289E-3</v>
      </c>
      <c r="E331">
        <v>-2.771206412603254E-2</v>
      </c>
      <c r="F331">
        <v>-2.918409052548733E-2</v>
      </c>
      <c r="G331">
        <v>1.9186997017453088E-2</v>
      </c>
      <c r="H331">
        <v>-3.9493382874093291E-2</v>
      </c>
      <c r="I331">
        <v>-1.7056282412934731E-2</v>
      </c>
      <c r="J331">
        <v>4.4485478562713038E-2</v>
      </c>
      <c r="K331">
        <v>135</v>
      </c>
      <c r="M331">
        <f t="shared" si="15"/>
        <v>109.16207481688356</v>
      </c>
      <c r="N331">
        <f t="shared" si="16"/>
        <v>25.83792518311644</v>
      </c>
      <c r="O331">
        <f t="shared" si="17"/>
        <v>667.59837776832273</v>
      </c>
    </row>
    <row r="332" spans="1:15" x14ac:dyDescent="0.25">
      <c r="A332">
        <v>9.0155988252676577E-3</v>
      </c>
      <c r="B332">
        <v>5.0680118739818619E-2</v>
      </c>
      <c r="C332">
        <v>3.043965637614009E-2</v>
      </c>
      <c r="D332">
        <v>4.2529491369132269E-2</v>
      </c>
      <c r="E332">
        <v>-2.944912678412368E-3</v>
      </c>
      <c r="F332">
        <v>3.6890234912104539E-2</v>
      </c>
      <c r="G332">
        <v>-6.5490672476546552E-2</v>
      </c>
      <c r="H332">
        <v>7.1209979753636743E-2</v>
      </c>
      <c r="I332">
        <v>-2.3646863099937548E-2</v>
      </c>
      <c r="J332">
        <v>1.549073015887186E-2</v>
      </c>
      <c r="K332">
        <v>244</v>
      </c>
      <c r="M332">
        <f t="shared" si="15"/>
        <v>174.51565185693082</v>
      </c>
      <c r="N332">
        <f t="shared" si="16"/>
        <v>69.484348143069184</v>
      </c>
      <c r="O332">
        <f t="shared" si="17"/>
        <v>4828.0746368672417</v>
      </c>
    </row>
    <row r="333" spans="1:15" x14ac:dyDescent="0.25">
      <c r="A333">
        <v>8.1666367845656063E-2</v>
      </c>
      <c r="B333">
        <v>5.0680118739818619E-2</v>
      </c>
      <c r="C333">
        <v>-2.560657146566148E-2</v>
      </c>
      <c r="D333">
        <v>-3.6656081075400741E-2</v>
      </c>
      <c r="E333">
        <v>-7.0366602730267291E-2</v>
      </c>
      <c r="F333">
        <v>-4.6407255923911747E-2</v>
      </c>
      <c r="G333">
        <v>-3.9719207847937969E-2</v>
      </c>
      <c r="H333">
        <v>-2.592261998183278E-3</v>
      </c>
      <c r="I333">
        <v>-4.1176166918895148E-2</v>
      </c>
      <c r="J333">
        <v>-5.2198044153004232E-3</v>
      </c>
      <c r="K333">
        <v>199</v>
      </c>
      <c r="M333">
        <f t="shared" si="15"/>
        <v>106.89846546175886</v>
      </c>
      <c r="N333">
        <f t="shared" si="16"/>
        <v>92.10153453824114</v>
      </c>
      <c r="O333">
        <f t="shared" si="17"/>
        <v>8482.6926642988255</v>
      </c>
    </row>
    <row r="334" spans="1:15" x14ac:dyDescent="0.25">
      <c r="A334">
        <v>3.0810829531384181E-2</v>
      </c>
      <c r="B334">
        <v>-4.4641636506989137E-2</v>
      </c>
      <c r="C334">
        <v>0.10480868947391531</v>
      </c>
      <c r="D334">
        <v>7.6958001127624881E-2</v>
      </c>
      <c r="E334">
        <v>-1.120062982761909E-2</v>
      </c>
      <c r="F334">
        <v>-1.133462820348383E-2</v>
      </c>
      <c r="G334">
        <v>-5.8127396868372677E-2</v>
      </c>
      <c r="H334">
        <v>3.4308858877726729E-2</v>
      </c>
      <c r="I334">
        <v>5.7108260421719202E-2</v>
      </c>
      <c r="J334">
        <v>3.6201264733044143E-2</v>
      </c>
      <c r="K334">
        <v>270</v>
      </c>
      <c r="M334">
        <f t="shared" si="15"/>
        <v>265.17969518206496</v>
      </c>
      <c r="N334">
        <f t="shared" si="16"/>
        <v>4.820304817935039</v>
      </c>
      <c r="O334">
        <f t="shared" si="17"/>
        <v>23.235338537807749</v>
      </c>
    </row>
    <row r="335" spans="1:15" x14ac:dyDescent="0.25">
      <c r="A335">
        <v>2.717829108036476E-2</v>
      </c>
      <c r="B335">
        <v>5.0680118739818619E-2</v>
      </c>
      <c r="C335">
        <v>-6.2059541358070831E-3</v>
      </c>
      <c r="D335">
        <v>2.875808746573523E-2</v>
      </c>
      <c r="E335">
        <v>-1.6704441260423579E-2</v>
      </c>
      <c r="F335">
        <v>-1.6270258880082471E-3</v>
      </c>
      <c r="G335">
        <v>-5.8127396868372677E-2</v>
      </c>
      <c r="H335">
        <v>3.4308858877726729E-2</v>
      </c>
      <c r="I335">
        <v>2.9296556858723951E-2</v>
      </c>
      <c r="J335">
        <v>3.2059157818209678E-2</v>
      </c>
      <c r="K335">
        <v>164</v>
      </c>
      <c r="M335">
        <f t="shared" si="15"/>
        <v>173.82409783215451</v>
      </c>
      <c r="N335">
        <f t="shared" si="16"/>
        <v>-9.8240978321545072</v>
      </c>
      <c r="O335">
        <f t="shared" si="17"/>
        <v>96.512898215742894</v>
      </c>
    </row>
    <row r="336" spans="1:15" x14ac:dyDescent="0.25">
      <c r="A336">
        <v>-6.0002631744101337E-2</v>
      </c>
      <c r="B336">
        <v>5.0680118739818619E-2</v>
      </c>
      <c r="C336">
        <v>-4.7162812943277482E-2</v>
      </c>
      <c r="D336">
        <v>-2.2884677172003699E-2</v>
      </c>
      <c r="E336">
        <v>-7.1742555588468412E-2</v>
      </c>
      <c r="F336">
        <v>-5.7680600548335008E-2</v>
      </c>
      <c r="G336">
        <v>-6.584467611155497E-3</v>
      </c>
      <c r="H336">
        <v>-3.9493382874093291E-2</v>
      </c>
      <c r="I336">
        <v>-6.2916879143655444E-2</v>
      </c>
      <c r="J336">
        <v>-5.4925087393313893E-2</v>
      </c>
      <c r="K336">
        <v>72</v>
      </c>
      <c r="M336">
        <f t="shared" si="15"/>
        <v>82.940940704271483</v>
      </c>
      <c r="N336">
        <f t="shared" si="16"/>
        <v>-10.940940704271483</v>
      </c>
      <c r="O336">
        <f t="shared" si="17"/>
        <v>119.70418349438458</v>
      </c>
    </row>
    <row r="337" spans="1:15" x14ac:dyDescent="0.25">
      <c r="A337">
        <v>5.3830603742482368E-3</v>
      </c>
      <c r="B337">
        <v>-4.4641636506989137E-2</v>
      </c>
      <c r="C337">
        <v>-4.8240625017158277E-2</v>
      </c>
      <c r="D337">
        <v>-1.255612424445591E-2</v>
      </c>
      <c r="E337">
        <v>1.182945896190995E-3</v>
      </c>
      <c r="F337">
        <v>-6.6374012766408086E-3</v>
      </c>
      <c r="G337">
        <v>6.3366650666496382E-2</v>
      </c>
      <c r="H337">
        <v>-3.9493382874093291E-2</v>
      </c>
      <c r="I337">
        <v>-5.1403873047272987E-2</v>
      </c>
      <c r="J337">
        <v>-5.9067194308148351E-2</v>
      </c>
      <c r="K337">
        <v>96</v>
      </c>
      <c r="M337">
        <f t="shared" si="15"/>
        <v>90.56004135117243</v>
      </c>
      <c r="N337">
        <f t="shared" si="16"/>
        <v>5.4399586488275702</v>
      </c>
      <c r="O337">
        <f t="shared" si="17"/>
        <v>29.593150100953881</v>
      </c>
    </row>
    <row r="338" spans="1:15" x14ac:dyDescent="0.25">
      <c r="A338">
        <v>-2.0044708782887711E-2</v>
      </c>
      <c r="B338">
        <v>-4.4641636506989137E-2</v>
      </c>
      <c r="C338">
        <v>8.5408072144060834E-2</v>
      </c>
      <c r="D338">
        <v>-3.6656081075400741E-2</v>
      </c>
      <c r="E338">
        <v>9.1995834537464974E-2</v>
      </c>
      <c r="F338">
        <v>8.9499176492746385E-2</v>
      </c>
      <c r="G338">
        <v>-6.1809034672459622E-2</v>
      </c>
      <c r="H338">
        <v>0.14501222150545681</v>
      </c>
      <c r="I338">
        <v>8.0945561246770811E-2</v>
      </c>
      <c r="J338">
        <v>5.2769692392381953E-2</v>
      </c>
      <c r="K338">
        <v>306</v>
      </c>
      <c r="M338">
        <f t="shared" si="15"/>
        <v>244.42561792843122</v>
      </c>
      <c r="N338">
        <f t="shared" si="16"/>
        <v>61.574382071568778</v>
      </c>
      <c r="O338">
        <f t="shared" si="17"/>
        <v>3791.4045274955306</v>
      </c>
    </row>
    <row r="339" spans="1:15" x14ac:dyDescent="0.25">
      <c r="A339">
        <v>1.9913214178325919E-2</v>
      </c>
      <c r="B339">
        <v>5.0680118739818619E-2</v>
      </c>
      <c r="C339">
        <v>-1.2672826579091899E-2</v>
      </c>
      <c r="D339">
        <v>7.0072299175926361E-2</v>
      </c>
      <c r="E339">
        <v>-1.120062982761909E-2</v>
      </c>
      <c r="F339">
        <v>7.1411310420987214E-3</v>
      </c>
      <c r="G339">
        <v>-3.9719207847937969E-2</v>
      </c>
      <c r="H339">
        <v>3.4308858877726729E-2</v>
      </c>
      <c r="I339">
        <v>5.3863312127926518E-3</v>
      </c>
      <c r="J339">
        <v>3.064409414368488E-3</v>
      </c>
      <c r="K339">
        <v>91</v>
      </c>
      <c r="M339">
        <f t="shared" si="15"/>
        <v>167.89595531382597</v>
      </c>
      <c r="N339">
        <f t="shared" si="16"/>
        <v>-76.895955313825965</v>
      </c>
      <c r="O339">
        <f t="shared" si="17"/>
        <v>5912.9879436259198</v>
      </c>
    </row>
    <row r="340" spans="1:15" x14ac:dyDescent="0.25">
      <c r="A340">
        <v>-6.3635170195120758E-2</v>
      </c>
      <c r="B340">
        <v>-4.4641636506989137E-2</v>
      </c>
      <c r="C340">
        <v>-3.3151255982827067E-2</v>
      </c>
      <c r="D340">
        <v>-3.3213230099551481E-2</v>
      </c>
      <c r="E340">
        <v>1.182945896190995E-3</v>
      </c>
      <c r="F340">
        <v>2.405114797873362E-2</v>
      </c>
      <c r="G340">
        <v>-2.4992656631590209E-2</v>
      </c>
      <c r="H340">
        <v>-2.592261998183278E-3</v>
      </c>
      <c r="I340">
        <v>-2.2516528376302171E-2</v>
      </c>
      <c r="J340">
        <v>-5.9067194308148351E-2</v>
      </c>
      <c r="K340">
        <v>214</v>
      </c>
      <c r="M340">
        <f t="shared" si="15"/>
        <v>110.92414605966248</v>
      </c>
      <c r="N340">
        <f t="shared" si="16"/>
        <v>103.07585394033752</v>
      </c>
      <c r="O340">
        <f t="shared" si="17"/>
        <v>10624.631665529794</v>
      </c>
    </row>
    <row r="341" spans="1:15" x14ac:dyDescent="0.25">
      <c r="A341">
        <v>2.717829108036476E-2</v>
      </c>
      <c r="B341">
        <v>-4.4641636506989137E-2</v>
      </c>
      <c r="C341">
        <v>-7.2837662096878987E-3</v>
      </c>
      <c r="D341">
        <v>-5.0427484978797787E-2</v>
      </c>
      <c r="E341">
        <v>7.5484400239051522E-2</v>
      </c>
      <c r="F341">
        <v>5.6618588004845233E-2</v>
      </c>
      <c r="G341">
        <v>3.3913548233800862E-2</v>
      </c>
      <c r="H341">
        <v>-2.592261998183278E-3</v>
      </c>
      <c r="I341">
        <v>4.3443972109385623E-2</v>
      </c>
      <c r="J341">
        <v>1.549073015887186E-2</v>
      </c>
      <c r="K341">
        <v>95</v>
      </c>
      <c r="M341">
        <f t="shared" si="15"/>
        <v>156.75803944703861</v>
      </c>
      <c r="N341">
        <f t="shared" si="16"/>
        <v>-61.758039447038612</v>
      </c>
      <c r="O341">
        <f t="shared" si="17"/>
        <v>3814.0554363419774</v>
      </c>
    </row>
    <row r="342" spans="1:15" x14ac:dyDescent="0.25">
      <c r="A342">
        <v>-1.641217033186829E-2</v>
      </c>
      <c r="B342">
        <v>-4.4641636506989137E-2</v>
      </c>
      <c r="C342">
        <v>-1.375063865297267E-2</v>
      </c>
      <c r="D342">
        <v>0.13204361674121309</v>
      </c>
      <c r="E342">
        <v>-9.8246769694179722E-3</v>
      </c>
      <c r="F342">
        <v>-3.8190651205349999E-3</v>
      </c>
      <c r="G342">
        <v>1.9186997017453088E-2</v>
      </c>
      <c r="H342">
        <v>-3.9493382874093291E-2</v>
      </c>
      <c r="I342">
        <v>-3.5816192584237301E-2</v>
      </c>
      <c r="J342">
        <v>-3.007244590430716E-2</v>
      </c>
      <c r="K342">
        <v>216</v>
      </c>
      <c r="M342">
        <f t="shared" si="15"/>
        <v>156.70504052736371</v>
      </c>
      <c r="N342">
        <f t="shared" si="16"/>
        <v>59.294959472636293</v>
      </c>
      <c r="O342">
        <f t="shared" si="17"/>
        <v>3515.8922188615807</v>
      </c>
    </row>
    <row r="343" spans="1:15" x14ac:dyDescent="0.25">
      <c r="A343">
        <v>3.0810829531384181E-2</v>
      </c>
      <c r="B343">
        <v>5.0680118739818619E-2</v>
      </c>
      <c r="C343">
        <v>5.954058237092167E-2</v>
      </c>
      <c r="D343">
        <v>5.6300895272529322E-2</v>
      </c>
      <c r="E343">
        <v>-2.220825269322806E-2</v>
      </c>
      <c r="F343">
        <v>1.1913102680975621E-3</v>
      </c>
      <c r="G343">
        <v>-3.2355932239764087E-2</v>
      </c>
      <c r="H343">
        <v>-2.592261998183278E-3</v>
      </c>
      <c r="I343">
        <v>-2.4795429028792799E-2</v>
      </c>
      <c r="J343">
        <v>-1.764612515980379E-2</v>
      </c>
      <c r="K343">
        <v>263</v>
      </c>
      <c r="M343">
        <f t="shared" si="15"/>
        <v>188.45148647483762</v>
      </c>
      <c r="N343">
        <f t="shared" si="16"/>
        <v>74.548513525162377</v>
      </c>
      <c r="O343">
        <f t="shared" si="17"/>
        <v>5557.480868811318</v>
      </c>
    </row>
    <row r="344" spans="1:15" x14ac:dyDescent="0.25">
      <c r="A344">
        <v>5.6238598688520117E-2</v>
      </c>
      <c r="B344">
        <v>5.0680118739818619E-2</v>
      </c>
      <c r="C344">
        <v>2.181715978509368E-2</v>
      </c>
      <c r="D344">
        <v>5.6300895272529322E-2</v>
      </c>
      <c r="E344">
        <v>-7.072771253015731E-3</v>
      </c>
      <c r="F344">
        <v>1.810132720473244E-2</v>
      </c>
      <c r="G344">
        <v>-3.2355932239764087E-2</v>
      </c>
      <c r="H344">
        <v>-2.592261998183278E-3</v>
      </c>
      <c r="I344">
        <v>-2.3646863099937548E-2</v>
      </c>
      <c r="J344">
        <v>2.377494398854077E-2</v>
      </c>
      <c r="K344">
        <v>178</v>
      </c>
      <c r="M344">
        <f t="shared" si="15"/>
        <v>168.25949592971207</v>
      </c>
      <c r="N344">
        <f t="shared" si="16"/>
        <v>9.7405040702879262</v>
      </c>
      <c r="O344">
        <f t="shared" si="17"/>
        <v>94.877419543295659</v>
      </c>
    </row>
    <row r="345" spans="1:15" x14ac:dyDescent="0.25">
      <c r="A345">
        <v>-2.0044708782887711E-2</v>
      </c>
      <c r="B345">
        <v>-4.4641636506989137E-2</v>
      </c>
      <c r="C345">
        <v>1.858372356345131E-2</v>
      </c>
      <c r="D345">
        <v>9.0729405031021934E-2</v>
      </c>
      <c r="E345">
        <v>3.934851612593237E-3</v>
      </c>
      <c r="F345">
        <v>8.7068733510463955E-3</v>
      </c>
      <c r="G345">
        <v>3.75951860378878E-2</v>
      </c>
      <c r="H345">
        <v>-3.9493382874093291E-2</v>
      </c>
      <c r="I345">
        <v>-5.7803026079466573E-2</v>
      </c>
      <c r="J345">
        <v>7.206516329202944E-3</v>
      </c>
      <c r="K345">
        <v>113</v>
      </c>
      <c r="M345">
        <f t="shared" si="15"/>
        <v>155.24261435944749</v>
      </c>
      <c r="N345">
        <f t="shared" si="16"/>
        <v>-42.242614359447487</v>
      </c>
      <c r="O345">
        <f t="shared" si="17"/>
        <v>1784.4384679209991</v>
      </c>
    </row>
    <row r="346" spans="1:15" x14ac:dyDescent="0.25">
      <c r="A346">
        <v>-0.10722563160735379</v>
      </c>
      <c r="B346">
        <v>-4.4641636506989137E-2</v>
      </c>
      <c r="C346">
        <v>-1.159501450521108E-2</v>
      </c>
      <c r="D346">
        <v>-4.0098932051250001E-2</v>
      </c>
      <c r="E346">
        <v>4.9341295933230229E-2</v>
      </c>
      <c r="F346">
        <v>6.44472995495836E-2</v>
      </c>
      <c r="G346">
        <v>-1.394774321932938E-2</v>
      </c>
      <c r="H346">
        <v>3.4308858877726729E-2</v>
      </c>
      <c r="I346">
        <v>7.0271396825858611E-3</v>
      </c>
      <c r="J346">
        <v>-3.007244590430716E-2</v>
      </c>
      <c r="K346">
        <v>200</v>
      </c>
      <c r="M346">
        <f t="shared" si="15"/>
        <v>139.87383944914978</v>
      </c>
      <c r="N346">
        <f t="shared" si="16"/>
        <v>60.126160550850216</v>
      </c>
      <c r="O346">
        <f t="shared" si="17"/>
        <v>3615.1551825866168</v>
      </c>
    </row>
    <row r="347" spans="1:15" x14ac:dyDescent="0.25">
      <c r="A347">
        <v>8.1666367845656063E-2</v>
      </c>
      <c r="B347">
        <v>5.0680118739818619E-2</v>
      </c>
      <c r="C347">
        <v>-2.9725179141646772E-3</v>
      </c>
      <c r="D347">
        <v>-3.3213230099551481E-2</v>
      </c>
      <c r="E347">
        <v>4.2461531642224618E-2</v>
      </c>
      <c r="F347">
        <v>5.7871181852003392E-2</v>
      </c>
      <c r="G347">
        <v>-1.026610541524244E-2</v>
      </c>
      <c r="H347">
        <v>3.4308858877726729E-2</v>
      </c>
      <c r="I347">
        <v>-6.1173530456262162E-4</v>
      </c>
      <c r="J347">
        <v>-1.0776975004659669E-3</v>
      </c>
      <c r="K347">
        <v>139</v>
      </c>
      <c r="M347">
        <f t="shared" si="15"/>
        <v>143.82545699419711</v>
      </c>
      <c r="N347">
        <f t="shared" si="16"/>
        <v>-4.8254569941971113</v>
      </c>
      <c r="O347">
        <f t="shared" si="17"/>
        <v>23.285035202845819</v>
      </c>
    </row>
    <row r="348" spans="1:15" x14ac:dyDescent="0.25">
      <c r="A348">
        <v>5.3830603742482368E-3</v>
      </c>
      <c r="B348">
        <v>5.0680118739818619E-2</v>
      </c>
      <c r="C348">
        <v>1.7505911489570501E-2</v>
      </c>
      <c r="D348">
        <v>3.2200938441584483E-2</v>
      </c>
      <c r="E348">
        <v>0.12777060885069411</v>
      </c>
      <c r="F348">
        <v>0.12739014036928009</v>
      </c>
      <c r="G348">
        <v>-2.1311018827503261E-2</v>
      </c>
      <c r="H348">
        <v>7.1209979753636743E-2</v>
      </c>
      <c r="I348">
        <v>6.2577621987696591E-2</v>
      </c>
      <c r="J348">
        <v>1.549073015887186E-2</v>
      </c>
      <c r="K348">
        <v>139</v>
      </c>
      <c r="M348">
        <f t="shared" si="15"/>
        <v>207.10554293379943</v>
      </c>
      <c r="N348">
        <f t="shared" si="16"/>
        <v>-68.105542933799427</v>
      </c>
      <c r="O348">
        <f t="shared" si="17"/>
        <v>4638.3649783075971</v>
      </c>
    </row>
    <row r="349" spans="1:15" x14ac:dyDescent="0.25">
      <c r="A349">
        <v>3.8075906433423033E-2</v>
      </c>
      <c r="B349">
        <v>5.0680118739818619E-2</v>
      </c>
      <c r="C349">
        <v>-2.9917819761184659E-2</v>
      </c>
      <c r="D349">
        <v>-7.452744180974262E-2</v>
      </c>
      <c r="E349">
        <v>-1.2576582685820211E-2</v>
      </c>
      <c r="F349">
        <v>-1.258722205064197E-2</v>
      </c>
      <c r="G349">
        <v>4.4604458011053274E-3</v>
      </c>
      <c r="H349">
        <v>-2.592261998183278E-3</v>
      </c>
      <c r="I349">
        <v>3.7090603325595972E-3</v>
      </c>
      <c r="J349">
        <v>-3.007244590430716E-2</v>
      </c>
      <c r="K349">
        <v>88</v>
      </c>
      <c r="M349">
        <f t="shared" si="15"/>
        <v>116.10961216975477</v>
      </c>
      <c r="N349">
        <f t="shared" si="16"/>
        <v>-28.109612169754769</v>
      </c>
      <c r="O349">
        <f t="shared" si="17"/>
        <v>790.15029633402537</v>
      </c>
    </row>
    <row r="350" spans="1:15" x14ac:dyDescent="0.25">
      <c r="A350">
        <v>3.0810829531384181E-2</v>
      </c>
      <c r="B350">
        <v>-4.4641636506989137E-2</v>
      </c>
      <c r="C350">
        <v>-2.0217511096257489E-2</v>
      </c>
      <c r="D350">
        <v>-5.67042229275739E-3</v>
      </c>
      <c r="E350">
        <v>-4.320865536613489E-3</v>
      </c>
      <c r="F350">
        <v>-2.949723898727687E-2</v>
      </c>
      <c r="G350">
        <v>7.809320188284416E-2</v>
      </c>
      <c r="H350">
        <v>-3.9493382874093291E-2</v>
      </c>
      <c r="I350">
        <v>-1.0903250651210131E-2</v>
      </c>
      <c r="J350">
        <v>-1.0776975004659669E-3</v>
      </c>
      <c r="K350">
        <v>148</v>
      </c>
      <c r="M350">
        <f t="shared" si="15"/>
        <v>130.69898580523181</v>
      </c>
      <c r="N350">
        <f t="shared" si="16"/>
        <v>17.301014194768186</v>
      </c>
      <c r="O350">
        <f t="shared" si="17"/>
        <v>299.32509216757023</v>
      </c>
    </row>
    <row r="351" spans="1:15" x14ac:dyDescent="0.25">
      <c r="A351">
        <v>1.750521923228816E-3</v>
      </c>
      <c r="B351">
        <v>5.0680118739818619E-2</v>
      </c>
      <c r="C351">
        <v>-5.7940933682085471E-2</v>
      </c>
      <c r="D351">
        <v>-4.3541783027099268E-2</v>
      </c>
      <c r="E351">
        <v>-9.6509707036088591E-2</v>
      </c>
      <c r="F351">
        <v>-4.7033552847490813E-2</v>
      </c>
      <c r="G351">
        <v>-9.862541271332903E-2</v>
      </c>
      <c r="H351">
        <v>3.4308858877726729E-2</v>
      </c>
      <c r="I351">
        <v>-6.1175799045152628E-2</v>
      </c>
      <c r="J351">
        <v>-7.149351505265171E-2</v>
      </c>
      <c r="K351">
        <v>88</v>
      </c>
      <c r="M351">
        <f t="shared" si="15"/>
        <v>76.666624150291625</v>
      </c>
      <c r="N351">
        <f t="shared" si="16"/>
        <v>11.333375849708375</v>
      </c>
      <c r="O351">
        <f t="shared" si="17"/>
        <v>128.44540815075302</v>
      </c>
    </row>
    <row r="352" spans="1:15" x14ac:dyDescent="0.25">
      <c r="A352">
        <v>-2.7309785684926549E-2</v>
      </c>
      <c r="B352">
        <v>5.0680118739818619E-2</v>
      </c>
      <c r="C352">
        <v>6.0618394444802479E-2</v>
      </c>
      <c r="D352">
        <v>0.10794365991026821</v>
      </c>
      <c r="E352">
        <v>1.2190568761799961E-2</v>
      </c>
      <c r="F352">
        <v>-1.7597597439274529E-2</v>
      </c>
      <c r="G352">
        <v>-2.9028298070685561E-3</v>
      </c>
      <c r="H352">
        <v>-2.592261998183278E-3</v>
      </c>
      <c r="I352">
        <v>7.0207381372235131E-2</v>
      </c>
      <c r="J352">
        <v>0.13561183068907109</v>
      </c>
      <c r="K352">
        <v>243</v>
      </c>
      <c r="M352">
        <f t="shared" si="15"/>
        <v>254.4622462493825</v>
      </c>
      <c r="N352">
        <f t="shared" si="16"/>
        <v>-11.462246249382503</v>
      </c>
      <c r="O352">
        <f t="shared" si="17"/>
        <v>131.38308908148323</v>
      </c>
    </row>
    <row r="353" spans="1:15" x14ac:dyDescent="0.25">
      <c r="A353">
        <v>-8.5430400901237283E-2</v>
      </c>
      <c r="B353">
        <v>5.0680118739818619E-2</v>
      </c>
      <c r="C353">
        <v>-4.0695940499992672E-2</v>
      </c>
      <c r="D353">
        <v>-3.3213230099551481E-2</v>
      </c>
      <c r="E353">
        <v>-8.1374225595876259E-2</v>
      </c>
      <c r="F353">
        <v>-6.9580242096337327E-2</v>
      </c>
      <c r="G353">
        <v>-6.584467611155497E-3</v>
      </c>
      <c r="H353">
        <v>-3.9493382874093291E-2</v>
      </c>
      <c r="I353">
        <v>-5.7803026079466573E-2</v>
      </c>
      <c r="J353">
        <v>-4.2498766648810533E-2</v>
      </c>
      <c r="K353">
        <v>71</v>
      </c>
      <c r="M353">
        <f t="shared" si="15"/>
        <v>86.997711125658896</v>
      </c>
      <c r="N353">
        <f t="shared" si="16"/>
        <v>-15.997711125658896</v>
      </c>
      <c r="O353">
        <f t="shared" si="17"/>
        <v>255.92676126003042</v>
      </c>
    </row>
    <row r="354" spans="1:15" x14ac:dyDescent="0.25">
      <c r="A354">
        <v>1.264813727628708E-2</v>
      </c>
      <c r="B354">
        <v>5.0680118739818619E-2</v>
      </c>
      <c r="C354">
        <v>-7.195249064253588E-2</v>
      </c>
      <c r="D354">
        <v>-4.6984634002948528E-2</v>
      </c>
      <c r="E354">
        <v>-5.1103262715451597E-2</v>
      </c>
      <c r="F354">
        <v>-9.7137306733816389E-2</v>
      </c>
      <c r="G354">
        <v>0.1185912177278005</v>
      </c>
      <c r="H354">
        <v>-7.6394503750003298E-2</v>
      </c>
      <c r="I354">
        <v>-2.0292321339471359E-2</v>
      </c>
      <c r="J354">
        <v>-3.8356659733976069E-2</v>
      </c>
      <c r="K354">
        <v>77</v>
      </c>
      <c r="M354">
        <f t="shared" si="15"/>
        <v>81.400291146393229</v>
      </c>
      <c r="N354">
        <f t="shared" si="16"/>
        <v>-4.4002911463932293</v>
      </c>
      <c r="O354">
        <f t="shared" si="17"/>
        <v>19.362562173026639</v>
      </c>
    </row>
    <row r="355" spans="1:15" x14ac:dyDescent="0.25">
      <c r="A355">
        <v>-5.2737554842062502E-2</v>
      </c>
      <c r="B355">
        <v>-4.4641636506989137E-2</v>
      </c>
      <c r="C355">
        <v>-5.5785309534323882E-2</v>
      </c>
      <c r="D355">
        <v>-3.6656081075400741E-2</v>
      </c>
      <c r="E355">
        <v>8.9243928821062732E-2</v>
      </c>
      <c r="F355">
        <v>-3.192768196955922E-3</v>
      </c>
      <c r="G355">
        <v>8.1420836051922674E-3</v>
      </c>
      <c r="H355">
        <v>3.4308858877726729E-2</v>
      </c>
      <c r="I355">
        <v>0.1323757911721786</v>
      </c>
      <c r="J355">
        <v>3.064409414368488E-3</v>
      </c>
      <c r="K355">
        <v>109</v>
      </c>
      <c r="M355">
        <f t="shared" si="15"/>
        <v>178.20593618481752</v>
      </c>
      <c r="N355">
        <f t="shared" si="16"/>
        <v>-69.205936184817517</v>
      </c>
      <c r="O355">
        <f t="shared" si="17"/>
        <v>4789.4616032170343</v>
      </c>
    </row>
    <row r="356" spans="1:15" x14ac:dyDescent="0.25">
      <c r="A356">
        <v>-2.3677247233907128E-2</v>
      </c>
      <c r="B356">
        <v>5.0680118739818619E-2</v>
      </c>
      <c r="C356">
        <v>4.5529025410471297E-2</v>
      </c>
      <c r="D356">
        <v>2.18723855140367E-2</v>
      </c>
      <c r="E356">
        <v>0.10988322169407951</v>
      </c>
      <c r="F356">
        <v>8.8872879569167312E-2</v>
      </c>
      <c r="G356">
        <v>7.7880799701838534E-4</v>
      </c>
      <c r="H356">
        <v>3.4308858877726729E-2</v>
      </c>
      <c r="I356">
        <v>7.4190899712788722E-2</v>
      </c>
      <c r="J356">
        <v>6.1053906222050869E-2</v>
      </c>
      <c r="K356">
        <v>272</v>
      </c>
      <c r="M356">
        <f t="shared" si="15"/>
        <v>225.55006765092566</v>
      </c>
      <c r="N356">
        <f t="shared" si="16"/>
        <v>46.449932349074345</v>
      </c>
      <c r="O356">
        <f t="shared" si="17"/>
        <v>2157.5962152335833</v>
      </c>
    </row>
    <row r="357" spans="1:15" x14ac:dyDescent="0.25">
      <c r="A357">
        <v>-7.4532785548179006E-2</v>
      </c>
      <c r="B357">
        <v>5.0680118739818619E-2</v>
      </c>
      <c r="C357">
        <v>-9.4393903574494908E-3</v>
      </c>
      <c r="D357">
        <v>1.498668356233818E-2</v>
      </c>
      <c r="E357">
        <v>-3.7343734133440387E-2</v>
      </c>
      <c r="F357">
        <v>-2.1668527442538499E-2</v>
      </c>
      <c r="G357">
        <v>-1.394774321932938E-2</v>
      </c>
      <c r="H357">
        <v>-2.592261998183278E-3</v>
      </c>
      <c r="I357">
        <v>-3.3245592648227913E-2</v>
      </c>
      <c r="J357">
        <v>1.13486232440374E-2</v>
      </c>
      <c r="K357">
        <v>60</v>
      </c>
      <c r="M357">
        <f t="shared" si="15"/>
        <v>134.1463974622539</v>
      </c>
      <c r="N357">
        <f t="shared" si="16"/>
        <v>-74.146397462253901</v>
      </c>
      <c r="O357">
        <f t="shared" si="17"/>
        <v>5497.6882566305321</v>
      </c>
    </row>
    <row r="358" spans="1:15" x14ac:dyDescent="0.25">
      <c r="A358">
        <v>-5.5145549788100249E-3</v>
      </c>
      <c r="B358">
        <v>5.0680118739818619E-2</v>
      </c>
      <c r="C358">
        <v>-3.3151255982827067E-2</v>
      </c>
      <c r="D358">
        <v>-1.5998975220305179E-2</v>
      </c>
      <c r="E358">
        <v>8.0627101871965992E-3</v>
      </c>
      <c r="F358">
        <v>1.6222436433995228E-2</v>
      </c>
      <c r="G358">
        <v>1.5505359213366149E-2</v>
      </c>
      <c r="H358">
        <v>-2.592261998183278E-3</v>
      </c>
      <c r="I358">
        <v>-2.8323167238848201E-2</v>
      </c>
      <c r="J358">
        <v>-7.5635621967486175E-2</v>
      </c>
      <c r="K358">
        <v>54</v>
      </c>
      <c r="M358">
        <f t="shared" si="15"/>
        <v>111.95256277032186</v>
      </c>
      <c r="N358">
        <f t="shared" si="16"/>
        <v>-57.952562770321862</v>
      </c>
      <c r="O358">
        <f t="shared" si="17"/>
        <v>3358.4995316480954</v>
      </c>
    </row>
    <row r="359" spans="1:15" x14ac:dyDescent="0.25">
      <c r="A359">
        <v>-6.0002631744101337E-2</v>
      </c>
      <c r="B359">
        <v>5.0680118739818619E-2</v>
      </c>
      <c r="C359">
        <v>4.9840273705994483E-2</v>
      </c>
      <c r="D359">
        <v>1.842953453818744E-2</v>
      </c>
      <c r="E359">
        <v>-1.6704441260423579E-2</v>
      </c>
      <c r="F359">
        <v>-3.0123535910855929E-2</v>
      </c>
      <c r="G359">
        <v>-1.762938102341632E-2</v>
      </c>
      <c r="H359">
        <v>-2.592261998183278E-3</v>
      </c>
      <c r="I359">
        <v>4.9770200320699509E-2</v>
      </c>
      <c r="J359">
        <v>-5.9067194308148351E-2</v>
      </c>
      <c r="K359">
        <v>221</v>
      </c>
      <c r="M359">
        <f t="shared" si="15"/>
        <v>208.7220323472163</v>
      </c>
      <c r="N359">
        <f t="shared" si="16"/>
        <v>12.277967652783701</v>
      </c>
      <c r="O359">
        <f t="shared" si="17"/>
        <v>150.7484896828029</v>
      </c>
    </row>
    <row r="360" spans="1:15" x14ac:dyDescent="0.25">
      <c r="A360">
        <v>-2.0044708782887711E-2</v>
      </c>
      <c r="B360">
        <v>-4.4641636506989137E-2</v>
      </c>
      <c r="C360">
        <v>-8.4886235529105458E-2</v>
      </c>
      <c r="D360">
        <v>-2.6327528147852958E-2</v>
      </c>
      <c r="E360">
        <v>-3.5967781275239273E-2</v>
      </c>
      <c r="F360">
        <v>-3.4194465914119891E-2</v>
      </c>
      <c r="G360">
        <v>4.1276823841974737E-2</v>
      </c>
      <c r="H360">
        <v>-5.167075276314359E-2</v>
      </c>
      <c r="I360">
        <v>-8.2378690715925143E-2</v>
      </c>
      <c r="J360">
        <v>-4.6640873563644977E-2</v>
      </c>
      <c r="K360">
        <v>90</v>
      </c>
      <c r="M360">
        <f t="shared" si="15"/>
        <v>49.741155134045087</v>
      </c>
      <c r="N360">
        <f t="shared" si="16"/>
        <v>40.258844865954913</v>
      </c>
      <c r="O360">
        <f t="shared" si="17"/>
        <v>1620.7745899410243</v>
      </c>
    </row>
    <row r="361" spans="1:15" x14ac:dyDescent="0.25">
      <c r="A361">
        <v>3.8075906433423033E-2</v>
      </c>
      <c r="B361">
        <v>5.0680118739818619E-2</v>
      </c>
      <c r="C361">
        <v>5.6499786768816887E-3</v>
      </c>
      <c r="D361">
        <v>3.2200938441584483E-2</v>
      </c>
      <c r="E361">
        <v>6.6867573289954782E-3</v>
      </c>
      <c r="F361">
        <v>1.747503028115336E-2</v>
      </c>
      <c r="G361">
        <v>-2.4992656631590209E-2</v>
      </c>
      <c r="H361">
        <v>3.4308858877726729E-2</v>
      </c>
      <c r="I361">
        <v>1.4820979914103669E-2</v>
      </c>
      <c r="J361">
        <v>6.1053906222050869E-2</v>
      </c>
      <c r="K361">
        <v>311</v>
      </c>
      <c r="M361">
        <f t="shared" si="15"/>
        <v>175.38491137944854</v>
      </c>
      <c r="N361">
        <f t="shared" si="16"/>
        <v>135.61508862055146</v>
      </c>
      <c r="O361">
        <f t="shared" si="17"/>
        <v>18391.452261560025</v>
      </c>
    </row>
    <row r="362" spans="1:15" x14ac:dyDescent="0.25">
      <c r="A362">
        <v>1.6280675727306501E-2</v>
      </c>
      <c r="B362">
        <v>-4.4641636506989137E-2</v>
      </c>
      <c r="C362">
        <v>2.073934771121291E-2</v>
      </c>
      <c r="D362">
        <v>2.18723855140367E-2</v>
      </c>
      <c r="E362">
        <v>-1.395253554402134E-2</v>
      </c>
      <c r="F362">
        <v>-1.321351897422105E-2</v>
      </c>
      <c r="G362">
        <v>-6.584467611155497E-3</v>
      </c>
      <c r="H362">
        <v>-2.592261998183278E-3</v>
      </c>
      <c r="I362">
        <v>1.3316905483459899E-2</v>
      </c>
      <c r="J362">
        <v>4.0343371647878587E-2</v>
      </c>
      <c r="K362">
        <v>281</v>
      </c>
      <c r="M362">
        <f t="shared" si="15"/>
        <v>177.63506919562761</v>
      </c>
      <c r="N362">
        <f t="shared" si="16"/>
        <v>103.36493080437239</v>
      </c>
      <c r="O362">
        <f t="shared" si="17"/>
        <v>10684.308920192692</v>
      </c>
    </row>
    <row r="363" spans="1:15" x14ac:dyDescent="0.25">
      <c r="A363">
        <v>4.170844488444244E-2</v>
      </c>
      <c r="B363">
        <v>-4.4641636506989137E-2</v>
      </c>
      <c r="C363">
        <v>-7.2837662096878987E-3</v>
      </c>
      <c r="D363">
        <v>2.875808746573523E-2</v>
      </c>
      <c r="E363">
        <v>-4.2847545566244871E-2</v>
      </c>
      <c r="F363">
        <v>-4.8286146694648972E-2</v>
      </c>
      <c r="G363">
        <v>5.2321737254235563E-2</v>
      </c>
      <c r="H363">
        <v>-7.6394503750003298E-2</v>
      </c>
      <c r="I363">
        <v>-7.2132753382327428E-2</v>
      </c>
      <c r="J363">
        <v>2.377494398854077E-2</v>
      </c>
      <c r="K363">
        <v>182</v>
      </c>
      <c r="M363">
        <f t="shared" si="15"/>
        <v>115.01715131342168</v>
      </c>
      <c r="N363">
        <f t="shared" si="16"/>
        <v>66.982848686578322</v>
      </c>
      <c r="O363">
        <f t="shared" si="17"/>
        <v>4486.7020181690468</v>
      </c>
    </row>
    <row r="364" spans="1:15" x14ac:dyDescent="0.25">
      <c r="A364">
        <v>1.9913214178325919E-2</v>
      </c>
      <c r="B364">
        <v>5.0680118739818619E-2</v>
      </c>
      <c r="C364">
        <v>0.10480868947391531</v>
      </c>
      <c r="D364">
        <v>7.0072299175926361E-2</v>
      </c>
      <c r="E364">
        <v>-3.5967781275239273E-2</v>
      </c>
      <c r="F364">
        <v>-2.6678902831171039E-2</v>
      </c>
      <c r="G364">
        <v>-2.4992656631590209E-2</v>
      </c>
      <c r="H364">
        <v>-2.592261998183278E-3</v>
      </c>
      <c r="I364">
        <v>3.7090603325595972E-3</v>
      </c>
      <c r="J364">
        <v>4.0343371647878587E-2</v>
      </c>
      <c r="K364">
        <v>321</v>
      </c>
      <c r="M364">
        <f t="shared" si="15"/>
        <v>234.50226611034731</v>
      </c>
      <c r="N364">
        <f t="shared" si="16"/>
        <v>86.497733889652693</v>
      </c>
      <c r="O364">
        <f t="shared" si="17"/>
        <v>7481.8579680451721</v>
      </c>
    </row>
    <row r="365" spans="1:15" x14ac:dyDescent="0.25">
      <c r="A365">
        <v>-4.9105016391043067E-2</v>
      </c>
      <c r="B365">
        <v>5.0680118739818619E-2</v>
      </c>
      <c r="C365">
        <v>-2.4528759391780671E-2</v>
      </c>
      <c r="D365">
        <v>7.9138836910882325E-5</v>
      </c>
      <c r="E365">
        <v>-4.6975404140848227E-2</v>
      </c>
      <c r="F365">
        <v>-2.8244645140118711E-2</v>
      </c>
      <c r="G365">
        <v>-6.5490672476546552E-2</v>
      </c>
      <c r="H365">
        <v>2.8404679537581121E-2</v>
      </c>
      <c r="I365">
        <v>1.91964691668857E-2</v>
      </c>
      <c r="J365">
        <v>1.13486232440374E-2</v>
      </c>
      <c r="K365">
        <v>58</v>
      </c>
      <c r="M365">
        <f t="shared" si="15"/>
        <v>149.62555519154847</v>
      </c>
      <c r="N365">
        <f t="shared" si="16"/>
        <v>-91.625555191548472</v>
      </c>
      <c r="O365">
        <f t="shared" si="17"/>
        <v>8395.2423641594942</v>
      </c>
    </row>
    <row r="366" spans="1:15" x14ac:dyDescent="0.25">
      <c r="A366">
        <v>1.750521923228816E-3</v>
      </c>
      <c r="B366">
        <v>5.0680118739818619E-2</v>
      </c>
      <c r="C366">
        <v>-6.2059541358070831E-3</v>
      </c>
      <c r="D366">
        <v>-1.9441826196154439E-2</v>
      </c>
      <c r="E366">
        <v>-9.8246769694179722E-3</v>
      </c>
      <c r="F366">
        <v>4.9490918095719677E-3</v>
      </c>
      <c r="G366">
        <v>-3.9719207847937969E-2</v>
      </c>
      <c r="H366">
        <v>3.4308858877726729E-2</v>
      </c>
      <c r="I366">
        <v>1.4820979914103669E-2</v>
      </c>
      <c r="J366">
        <v>9.8332868455560968E-2</v>
      </c>
      <c r="K366">
        <v>262</v>
      </c>
      <c r="M366">
        <f t="shared" si="15"/>
        <v>156.31285388035431</v>
      </c>
      <c r="N366">
        <f t="shared" si="16"/>
        <v>105.68714611964569</v>
      </c>
      <c r="O366">
        <f t="shared" si="17"/>
        <v>11169.772854915338</v>
      </c>
    </row>
    <row r="367" spans="1:15" x14ac:dyDescent="0.25">
      <c r="A367">
        <v>3.4443367982403598E-2</v>
      </c>
      <c r="B367">
        <v>-4.4641636506989137E-2</v>
      </c>
      <c r="C367">
        <v>-3.8540316352231069E-2</v>
      </c>
      <c r="D367">
        <v>-1.255612424445591E-2</v>
      </c>
      <c r="E367">
        <v>9.4386630453977202E-3</v>
      </c>
      <c r="F367">
        <v>5.2622402713615084E-3</v>
      </c>
      <c r="G367">
        <v>-6.584467611155497E-3</v>
      </c>
      <c r="H367">
        <v>-2.592261998183278E-3</v>
      </c>
      <c r="I367">
        <v>3.119260220159616E-2</v>
      </c>
      <c r="J367">
        <v>9.8332868455560968E-2</v>
      </c>
      <c r="K367">
        <v>206</v>
      </c>
      <c r="M367">
        <f t="shared" si="15"/>
        <v>144.78134951544408</v>
      </c>
      <c r="N367">
        <f t="shared" si="16"/>
        <v>61.218650484555923</v>
      </c>
      <c r="O367">
        <f t="shared" si="17"/>
        <v>3747.7231671502191</v>
      </c>
    </row>
    <row r="368" spans="1:15" x14ac:dyDescent="0.25">
      <c r="A368">
        <v>-4.5472477940023653E-2</v>
      </c>
      <c r="B368">
        <v>5.0680118739818619E-2</v>
      </c>
      <c r="C368">
        <v>0.1371430516903393</v>
      </c>
      <c r="D368">
        <v>-1.5998975220305179E-2</v>
      </c>
      <c r="E368">
        <v>4.1085578784023503E-2</v>
      </c>
      <c r="F368">
        <v>3.1879859523471991E-2</v>
      </c>
      <c r="G368">
        <v>-4.3400845652024907E-2</v>
      </c>
      <c r="H368">
        <v>7.1209979753636743E-2</v>
      </c>
      <c r="I368">
        <v>7.1018670004521764E-2</v>
      </c>
      <c r="J368">
        <v>4.8627585477547502E-2</v>
      </c>
      <c r="K368">
        <v>233</v>
      </c>
      <c r="M368">
        <f t="shared" si="15"/>
        <v>269.94851164970942</v>
      </c>
      <c r="N368">
        <f t="shared" si="16"/>
        <v>-36.948511649709417</v>
      </c>
      <c r="O368">
        <f t="shared" si="17"/>
        <v>1365.1925131287126</v>
      </c>
    </row>
    <row r="369" spans="1:15" x14ac:dyDescent="0.25">
      <c r="A369">
        <v>-9.1470934298294448E-3</v>
      </c>
      <c r="B369">
        <v>5.0680118739818619E-2</v>
      </c>
      <c r="C369">
        <v>0.1705552259806441</v>
      </c>
      <c r="D369">
        <v>1.498668356233818E-2</v>
      </c>
      <c r="E369">
        <v>3.0077955918414539E-2</v>
      </c>
      <c r="F369">
        <v>3.3758750294209189E-2</v>
      </c>
      <c r="G369">
        <v>-2.1311018827503261E-2</v>
      </c>
      <c r="H369">
        <v>3.4308858877726729E-2</v>
      </c>
      <c r="I369">
        <v>3.3653814906286023E-2</v>
      </c>
      <c r="J369">
        <v>3.2059157818209678E-2</v>
      </c>
      <c r="K369">
        <v>242</v>
      </c>
      <c r="M369">
        <f t="shared" si="15"/>
        <v>275.89979609629768</v>
      </c>
      <c r="N369">
        <f t="shared" si="16"/>
        <v>-33.899796096297678</v>
      </c>
      <c r="O369">
        <f t="shared" si="17"/>
        <v>1149.1961753705593</v>
      </c>
    </row>
    <row r="370" spans="1:15" x14ac:dyDescent="0.25">
      <c r="A370">
        <v>-1.641217033186829E-2</v>
      </c>
      <c r="B370">
        <v>5.0680118739818619E-2</v>
      </c>
      <c r="C370">
        <v>2.4165424552393209E-3</v>
      </c>
      <c r="D370">
        <v>1.498668356233818E-2</v>
      </c>
      <c r="E370">
        <v>2.1822238769207809E-2</v>
      </c>
      <c r="F370">
        <v>-1.00820343563257E-2</v>
      </c>
      <c r="G370">
        <v>-2.4992656631590209E-2</v>
      </c>
      <c r="H370">
        <v>3.4308858877726729E-2</v>
      </c>
      <c r="I370">
        <v>8.5530709359581888E-2</v>
      </c>
      <c r="J370">
        <v>8.1764440796223151E-2</v>
      </c>
      <c r="K370">
        <v>123</v>
      </c>
      <c r="M370">
        <f t="shared" si="15"/>
        <v>204.83036628274536</v>
      </c>
      <c r="N370">
        <f t="shared" si="16"/>
        <v>-81.830366282745359</v>
      </c>
      <c r="O370">
        <f t="shared" si="17"/>
        <v>6696.2088459682682</v>
      </c>
    </row>
    <row r="371" spans="1:15" x14ac:dyDescent="0.25">
      <c r="A371">
        <v>-9.1470934298294448E-3</v>
      </c>
      <c r="B371">
        <v>-4.4641636506989137E-2</v>
      </c>
      <c r="C371">
        <v>3.7984340893305678E-2</v>
      </c>
      <c r="D371">
        <v>-4.0098932051250001E-2</v>
      </c>
      <c r="E371">
        <v>-2.4960158409630302E-2</v>
      </c>
      <c r="F371">
        <v>-3.8190651205349999E-3</v>
      </c>
      <c r="G371">
        <v>-4.3400845652024907E-2</v>
      </c>
      <c r="H371">
        <v>1.5858298439771729E-2</v>
      </c>
      <c r="I371">
        <v>-5.1421898017138907E-3</v>
      </c>
      <c r="J371">
        <v>2.7917050903375221E-2</v>
      </c>
      <c r="K371">
        <v>167</v>
      </c>
      <c r="M371">
        <f t="shared" si="15"/>
        <v>163.43932074904413</v>
      </c>
      <c r="N371">
        <f t="shared" si="16"/>
        <v>3.5606792509558716</v>
      </c>
      <c r="O371">
        <f t="shared" si="17"/>
        <v>12.678436728187666</v>
      </c>
    </row>
    <row r="372" spans="1:15" x14ac:dyDescent="0.25">
      <c r="A372">
        <v>1.9913214178325919E-2</v>
      </c>
      <c r="B372">
        <v>-4.4641636506989137E-2</v>
      </c>
      <c r="C372">
        <v>-5.7940933682085471E-2</v>
      </c>
      <c r="D372">
        <v>-5.7313186930496307E-2</v>
      </c>
      <c r="E372">
        <v>-1.568959820211247E-3</v>
      </c>
      <c r="F372">
        <v>-1.258722205064197E-2</v>
      </c>
      <c r="G372">
        <v>7.4411564078757209E-2</v>
      </c>
      <c r="H372">
        <v>-3.9493382874093291E-2</v>
      </c>
      <c r="I372">
        <v>-6.1175799045152628E-2</v>
      </c>
      <c r="J372">
        <v>-7.5635621967486175E-2</v>
      </c>
      <c r="K372">
        <v>63</v>
      </c>
      <c r="M372">
        <f t="shared" si="15"/>
        <v>67.958666054503283</v>
      </c>
      <c r="N372">
        <f t="shared" si="16"/>
        <v>-4.9586660545032828</v>
      </c>
      <c r="O372">
        <f t="shared" si="17"/>
        <v>24.588369040083155</v>
      </c>
    </row>
    <row r="373" spans="1:15" x14ac:dyDescent="0.25">
      <c r="A373">
        <v>5.2606060237500703E-2</v>
      </c>
      <c r="B373">
        <v>5.0680118739818619E-2</v>
      </c>
      <c r="C373">
        <v>-9.4393903574494908E-3</v>
      </c>
      <c r="D373">
        <v>4.9415193320830803E-2</v>
      </c>
      <c r="E373">
        <v>5.0717248791431351E-2</v>
      </c>
      <c r="F373">
        <v>-1.9163339748222201E-2</v>
      </c>
      <c r="G373">
        <v>-1.394774321932938E-2</v>
      </c>
      <c r="H373">
        <v>3.4308858877726729E-2</v>
      </c>
      <c r="I373">
        <v>0.1193404794399323</v>
      </c>
      <c r="J373">
        <v>-1.764612515980379E-2</v>
      </c>
      <c r="K373">
        <v>197</v>
      </c>
      <c r="M373">
        <f t="shared" si="15"/>
        <v>220.39829985109822</v>
      </c>
      <c r="N373">
        <f t="shared" si="16"/>
        <v>-23.398299851098216</v>
      </c>
      <c r="O373">
        <f t="shared" si="17"/>
        <v>547.48043592190277</v>
      </c>
    </row>
    <row r="374" spans="1:15" x14ac:dyDescent="0.25">
      <c r="A374">
        <v>-2.7309785684926549E-2</v>
      </c>
      <c r="B374">
        <v>5.0680118739818619E-2</v>
      </c>
      <c r="C374">
        <v>-2.345094731789989E-2</v>
      </c>
      <c r="D374">
        <v>-1.5998975220305179E-2</v>
      </c>
      <c r="E374">
        <v>1.356652162000108E-2</v>
      </c>
      <c r="F374">
        <v>1.2777803354310341E-2</v>
      </c>
      <c r="G374">
        <v>2.655027262562697E-2</v>
      </c>
      <c r="H374">
        <v>-2.592261998183278E-3</v>
      </c>
      <c r="I374">
        <v>-1.0903250651210131E-2</v>
      </c>
      <c r="J374">
        <v>-2.1788232074638241E-2</v>
      </c>
      <c r="K374">
        <v>71</v>
      </c>
      <c r="M374">
        <f t="shared" si="15"/>
        <v>127.99576975477976</v>
      </c>
      <c r="N374">
        <f t="shared" si="16"/>
        <v>-56.995769754779758</v>
      </c>
      <c r="O374">
        <f t="shared" si="17"/>
        <v>3248.5177699398669</v>
      </c>
    </row>
    <row r="375" spans="1:15" x14ac:dyDescent="0.25">
      <c r="A375">
        <v>-7.4532785548179006E-2</v>
      </c>
      <c r="B375">
        <v>-4.4641636506989137E-2</v>
      </c>
      <c r="C375">
        <v>-1.0517202431330299E-2</v>
      </c>
      <c r="D375">
        <v>-5.67042229275739E-3</v>
      </c>
      <c r="E375">
        <v>-6.6238744155663928E-2</v>
      </c>
      <c r="F375">
        <v>-5.7054303624755928E-2</v>
      </c>
      <c r="G375">
        <v>-2.9028298070685561E-3</v>
      </c>
      <c r="H375">
        <v>-3.9493382874093291E-2</v>
      </c>
      <c r="I375">
        <v>-4.2570854118219377E-2</v>
      </c>
      <c r="J375">
        <v>-1.0776975004659669E-3</v>
      </c>
      <c r="K375">
        <v>168</v>
      </c>
      <c r="M375">
        <f t="shared" si="15"/>
        <v>120.64886229002066</v>
      </c>
      <c r="N375">
        <f t="shared" si="16"/>
        <v>47.351137709979341</v>
      </c>
      <c r="O375">
        <f t="shared" si="17"/>
        <v>2242.1302424294277</v>
      </c>
    </row>
    <row r="376" spans="1:15" x14ac:dyDescent="0.25">
      <c r="A376">
        <v>-0.10722563160735379</v>
      </c>
      <c r="B376">
        <v>-4.4641636506989137E-2</v>
      </c>
      <c r="C376">
        <v>-3.422906805670789E-2</v>
      </c>
      <c r="D376">
        <v>-6.7641739858044087E-2</v>
      </c>
      <c r="E376">
        <v>-6.3486838439261686E-2</v>
      </c>
      <c r="F376">
        <v>-7.0519687481705923E-2</v>
      </c>
      <c r="G376">
        <v>8.1420836051922674E-3</v>
      </c>
      <c r="H376">
        <v>-3.9493382874093291E-2</v>
      </c>
      <c r="I376">
        <v>-6.1173530456262162E-4</v>
      </c>
      <c r="J376">
        <v>-7.9777728882320625E-2</v>
      </c>
      <c r="K376">
        <v>140</v>
      </c>
      <c r="M376">
        <f t="shared" si="15"/>
        <v>109.12198250653054</v>
      </c>
      <c r="N376">
        <f t="shared" si="16"/>
        <v>30.878017493469457</v>
      </c>
      <c r="O376">
        <f t="shared" si="17"/>
        <v>953.45196432700584</v>
      </c>
    </row>
    <row r="377" spans="1:15" x14ac:dyDescent="0.25">
      <c r="A377">
        <v>4.5340983335461861E-2</v>
      </c>
      <c r="B377">
        <v>5.0680118739818619E-2</v>
      </c>
      <c r="C377">
        <v>-2.9725179141646772E-3</v>
      </c>
      <c r="D377">
        <v>0.10794365991026821</v>
      </c>
      <c r="E377">
        <v>3.5581767351219019E-2</v>
      </c>
      <c r="F377">
        <v>2.2485405669785949E-2</v>
      </c>
      <c r="G377">
        <v>2.655027262562697E-2</v>
      </c>
      <c r="H377">
        <v>-2.592261998183278E-3</v>
      </c>
      <c r="I377">
        <v>2.8020372493329278E-2</v>
      </c>
      <c r="J377">
        <v>1.9632837073706309E-2</v>
      </c>
      <c r="K377">
        <v>217</v>
      </c>
      <c r="M377">
        <f t="shared" si="15"/>
        <v>192.59733912822583</v>
      </c>
      <c r="N377">
        <f t="shared" si="16"/>
        <v>24.402660871774174</v>
      </c>
      <c r="O377">
        <f t="shared" si="17"/>
        <v>595.48985762281825</v>
      </c>
    </row>
    <row r="378" spans="1:15" x14ac:dyDescent="0.25">
      <c r="A378">
        <v>-1.8820165277906051E-3</v>
      </c>
      <c r="B378">
        <v>-4.4641636506989137E-2</v>
      </c>
      <c r="C378">
        <v>6.8163078961968104E-2</v>
      </c>
      <c r="D378">
        <v>-5.67042229275739E-3</v>
      </c>
      <c r="E378">
        <v>0.11951489170148739</v>
      </c>
      <c r="F378">
        <v>0.13020847652538589</v>
      </c>
      <c r="G378">
        <v>-2.4992656631590209E-2</v>
      </c>
      <c r="H378">
        <v>8.6708450521518945E-2</v>
      </c>
      <c r="I378">
        <v>4.6133074879324491E-2</v>
      </c>
      <c r="J378">
        <v>-1.0776975004659669E-3</v>
      </c>
      <c r="K378">
        <v>121</v>
      </c>
      <c r="M378">
        <f t="shared" si="15"/>
        <v>219.35006123430531</v>
      </c>
      <c r="N378">
        <f t="shared" si="16"/>
        <v>-98.350061234305315</v>
      </c>
      <c r="O378">
        <f t="shared" si="17"/>
        <v>9672.734544791605</v>
      </c>
    </row>
    <row r="379" spans="1:15" x14ac:dyDescent="0.25">
      <c r="A379">
        <v>1.9913214178325919E-2</v>
      </c>
      <c r="B379">
        <v>5.0680118739818619E-2</v>
      </c>
      <c r="C379">
        <v>9.9612269724049084E-3</v>
      </c>
      <c r="D379">
        <v>1.842953453818744E-2</v>
      </c>
      <c r="E379">
        <v>1.4942474478202201E-2</v>
      </c>
      <c r="F379">
        <v>4.4718946456842913E-2</v>
      </c>
      <c r="G379">
        <v>-6.1809034672459622E-2</v>
      </c>
      <c r="H379">
        <v>7.1209979753636743E-2</v>
      </c>
      <c r="I379">
        <v>9.4336587716159874E-3</v>
      </c>
      <c r="J379">
        <v>-6.3209301222982794E-2</v>
      </c>
      <c r="K379">
        <v>235</v>
      </c>
      <c r="M379">
        <f t="shared" si="15"/>
        <v>170.23886594101867</v>
      </c>
      <c r="N379">
        <f t="shared" si="16"/>
        <v>64.761134058981327</v>
      </c>
      <c r="O379">
        <f t="shared" si="17"/>
        <v>4194.0044846053515</v>
      </c>
    </row>
    <row r="380" spans="1:15" x14ac:dyDescent="0.25">
      <c r="A380">
        <v>1.6280675727306501E-2</v>
      </c>
      <c r="B380">
        <v>5.0680118739818619E-2</v>
      </c>
      <c r="C380">
        <v>2.4165424552393209E-3</v>
      </c>
      <c r="D380">
        <v>-5.67042229275739E-3</v>
      </c>
      <c r="E380">
        <v>-5.6968183948146092E-3</v>
      </c>
      <c r="F380">
        <v>1.089891258357315E-2</v>
      </c>
      <c r="G380">
        <v>-5.0764121260198802E-2</v>
      </c>
      <c r="H380">
        <v>3.4308858877726729E-2</v>
      </c>
      <c r="I380">
        <v>2.268774496650125E-2</v>
      </c>
      <c r="J380">
        <v>-3.8356659733976069E-2</v>
      </c>
      <c r="K380">
        <v>245</v>
      </c>
      <c r="M380">
        <f t="shared" si="15"/>
        <v>164.46872919048135</v>
      </c>
      <c r="N380">
        <f t="shared" si="16"/>
        <v>80.531270809518645</v>
      </c>
      <c r="O380">
        <f t="shared" si="17"/>
        <v>6485.2855781960297</v>
      </c>
    </row>
    <row r="381" spans="1:15" x14ac:dyDescent="0.25">
      <c r="A381">
        <v>-1.8820165277906051E-3</v>
      </c>
      <c r="B381">
        <v>-4.4641636506989137E-2</v>
      </c>
      <c r="C381">
        <v>-3.8540316352231069E-2</v>
      </c>
      <c r="D381">
        <v>2.18723855140367E-2</v>
      </c>
      <c r="E381">
        <v>-0.10889328275989869</v>
      </c>
      <c r="F381">
        <v>-0.11561306597939899</v>
      </c>
      <c r="G381">
        <v>2.2868634821540029E-2</v>
      </c>
      <c r="H381">
        <v>-7.6394503750003298E-2</v>
      </c>
      <c r="I381">
        <v>-4.6882534152731581E-2</v>
      </c>
      <c r="J381">
        <v>2.377494398854077E-2</v>
      </c>
      <c r="K381">
        <v>40</v>
      </c>
      <c r="M381">
        <f t="shared" si="15"/>
        <v>107.48671269730292</v>
      </c>
      <c r="N381">
        <f t="shared" si="16"/>
        <v>-67.48671269730292</v>
      </c>
      <c r="O381">
        <f t="shared" si="17"/>
        <v>4554.4563906883068</v>
      </c>
    </row>
    <row r="382" spans="1:15" x14ac:dyDescent="0.25">
      <c r="A382">
        <v>1.6280675727306501E-2</v>
      </c>
      <c r="B382">
        <v>-4.4641636506989137E-2</v>
      </c>
      <c r="C382">
        <v>2.6128408080616901E-2</v>
      </c>
      <c r="D382">
        <v>5.8607605426348332E-2</v>
      </c>
      <c r="E382">
        <v>-6.0734932722859437E-2</v>
      </c>
      <c r="F382">
        <v>-4.4215216691384999E-2</v>
      </c>
      <c r="G382">
        <v>-1.394774321932938E-2</v>
      </c>
      <c r="H382">
        <v>-3.3958214742706792E-2</v>
      </c>
      <c r="I382">
        <v>-5.1403873047272987E-2</v>
      </c>
      <c r="J382">
        <v>-2.5930338989472699E-2</v>
      </c>
      <c r="K382">
        <v>52</v>
      </c>
      <c r="M382">
        <f t="shared" si="15"/>
        <v>153.87496271139824</v>
      </c>
      <c r="N382">
        <f t="shared" si="16"/>
        <v>-101.87496271139824</v>
      </c>
      <c r="O382">
        <f t="shared" si="17"/>
        <v>10378.508027448781</v>
      </c>
    </row>
    <row r="383" spans="1:15" x14ac:dyDescent="0.25">
      <c r="A383">
        <v>-7.0900247097159586E-2</v>
      </c>
      <c r="B383">
        <v>5.0680118739818619E-2</v>
      </c>
      <c r="C383">
        <v>-8.9197483824628651E-2</v>
      </c>
      <c r="D383">
        <v>-7.452744180974262E-2</v>
      </c>
      <c r="E383">
        <v>-4.2847545566244871E-2</v>
      </c>
      <c r="F383">
        <v>-2.573945744580244E-2</v>
      </c>
      <c r="G383">
        <v>-3.2355932239764087E-2</v>
      </c>
      <c r="H383">
        <v>-2.592261998183278E-3</v>
      </c>
      <c r="I383">
        <v>-1.290868322540187E-2</v>
      </c>
      <c r="J383">
        <v>-5.4925087393313893E-2</v>
      </c>
      <c r="K383">
        <v>104</v>
      </c>
      <c r="M383">
        <f t="shared" si="15"/>
        <v>72.367319692623852</v>
      </c>
      <c r="N383">
        <f t="shared" si="16"/>
        <v>31.632680307376148</v>
      </c>
      <c r="O383">
        <f t="shared" si="17"/>
        <v>1000.6264634286628</v>
      </c>
    </row>
    <row r="384" spans="1:15" x14ac:dyDescent="0.25">
      <c r="A384">
        <v>4.8973521786481282E-2</v>
      </c>
      <c r="B384">
        <v>-4.4641636506989137E-2</v>
      </c>
      <c r="C384">
        <v>6.0618394444802479E-2</v>
      </c>
      <c r="D384">
        <v>-2.2884677172003699E-2</v>
      </c>
      <c r="E384">
        <v>-2.3584205551429181E-2</v>
      </c>
      <c r="F384">
        <v>-7.2711726714232677E-2</v>
      </c>
      <c r="G384">
        <v>-4.3400845652024907E-2</v>
      </c>
      <c r="H384">
        <v>-2.592261998183278E-3</v>
      </c>
      <c r="I384">
        <v>0.1041356542865151</v>
      </c>
      <c r="J384">
        <v>3.6201264733044143E-2</v>
      </c>
      <c r="K384">
        <v>132</v>
      </c>
      <c r="M384">
        <f t="shared" si="15"/>
        <v>234.408556738637</v>
      </c>
      <c r="N384">
        <f t="shared" si="16"/>
        <v>-102.408556738637</v>
      </c>
      <c r="O384">
        <f t="shared" si="17"/>
        <v>10487.512493290635</v>
      </c>
    </row>
    <row r="385" spans="1:15" x14ac:dyDescent="0.25">
      <c r="A385">
        <v>5.3830603742482368E-3</v>
      </c>
      <c r="B385">
        <v>5.0680118739818619E-2</v>
      </c>
      <c r="C385">
        <v>-2.8840007687303892E-2</v>
      </c>
      <c r="D385">
        <v>-9.1132732686066524E-3</v>
      </c>
      <c r="E385">
        <v>-3.1839922700635903E-2</v>
      </c>
      <c r="F385">
        <v>-2.887094206369779E-2</v>
      </c>
      <c r="G385">
        <v>8.1420836051922674E-3</v>
      </c>
      <c r="H385">
        <v>-3.9493382874093291E-2</v>
      </c>
      <c r="I385">
        <v>-1.8113692315690318E-2</v>
      </c>
      <c r="J385">
        <v>7.206516329202944E-3</v>
      </c>
      <c r="K385">
        <v>88</v>
      </c>
      <c r="M385">
        <f t="shared" si="15"/>
        <v>121.44657843856481</v>
      </c>
      <c r="N385">
        <f t="shared" si="16"/>
        <v>-33.446578438564813</v>
      </c>
      <c r="O385">
        <f t="shared" si="17"/>
        <v>1118.6736092470687</v>
      </c>
    </row>
    <row r="386" spans="1:15" x14ac:dyDescent="0.25">
      <c r="A386">
        <v>3.4443367982403598E-2</v>
      </c>
      <c r="B386">
        <v>5.0680118739818619E-2</v>
      </c>
      <c r="C386">
        <v>-2.9917819761184659E-2</v>
      </c>
      <c r="D386">
        <v>4.6581306347903946E-3</v>
      </c>
      <c r="E386">
        <v>9.3371787395666095E-2</v>
      </c>
      <c r="F386">
        <v>8.6993988798430122E-2</v>
      </c>
      <c r="G386">
        <v>3.3913548233800862E-2</v>
      </c>
      <c r="H386">
        <v>-2.592261998183278E-3</v>
      </c>
      <c r="I386">
        <v>2.4055085357995651E-2</v>
      </c>
      <c r="J386">
        <v>-3.8356659733976069E-2</v>
      </c>
      <c r="K386">
        <v>69</v>
      </c>
      <c r="M386">
        <f t="shared" si="15"/>
        <v>146.3731376914026</v>
      </c>
      <c r="N386">
        <f t="shared" si="16"/>
        <v>-77.373137691402604</v>
      </c>
      <c r="O386">
        <f t="shared" si="17"/>
        <v>5986.6024362127464</v>
      </c>
    </row>
    <row r="387" spans="1:15" x14ac:dyDescent="0.25">
      <c r="A387">
        <v>2.3545752629345339E-2</v>
      </c>
      <c r="B387">
        <v>5.0680118739818619E-2</v>
      </c>
      <c r="C387">
        <v>-1.913969902237667E-2</v>
      </c>
      <c r="D387">
        <v>4.9415193320830803E-2</v>
      </c>
      <c r="E387">
        <v>-6.3486838439261686E-2</v>
      </c>
      <c r="F387">
        <v>-6.112523362801988E-2</v>
      </c>
      <c r="G387">
        <v>4.4604458011053274E-3</v>
      </c>
      <c r="H387">
        <v>-3.9493382874093291E-2</v>
      </c>
      <c r="I387">
        <v>-2.5953110560258001E-2</v>
      </c>
      <c r="J387">
        <v>-1.350401824496934E-2</v>
      </c>
      <c r="K387">
        <v>219</v>
      </c>
      <c r="M387">
        <f t="shared" ref="M387:M443" si="18">$A$446 + SUMPRODUCT($B$446:$K$446, A387:J387)</f>
        <v>137.66646981178047</v>
      </c>
      <c r="N387">
        <f t="shared" ref="N387:N443" si="19">K387-M387</f>
        <v>81.333530188219527</v>
      </c>
      <c r="O387">
        <f t="shared" ref="O387:O443" si="20">N387^2</f>
        <v>6615.1431328780172</v>
      </c>
    </row>
    <row r="388" spans="1:15" x14ac:dyDescent="0.25">
      <c r="A388">
        <v>1.9913214178325919E-2</v>
      </c>
      <c r="B388">
        <v>-4.4641636506989137E-2</v>
      </c>
      <c r="C388">
        <v>-4.0695940499992672E-2</v>
      </c>
      <c r="D388">
        <v>-1.5998975220305179E-2</v>
      </c>
      <c r="E388">
        <v>-8.4487241112168512E-3</v>
      </c>
      <c r="F388">
        <v>-1.7597597439274529E-2</v>
      </c>
      <c r="G388">
        <v>5.2321737254235563E-2</v>
      </c>
      <c r="H388">
        <v>-3.9493382874093291E-2</v>
      </c>
      <c r="I388">
        <v>-3.0747917533098211E-2</v>
      </c>
      <c r="J388">
        <v>3.064409414368488E-3</v>
      </c>
      <c r="K388">
        <v>72</v>
      </c>
      <c r="M388">
        <f t="shared" si="18"/>
        <v>106.32441820720129</v>
      </c>
      <c r="N388">
        <f t="shared" si="19"/>
        <v>-34.32441820720129</v>
      </c>
      <c r="O388">
        <f t="shared" si="20"/>
        <v>1178.1656852628514</v>
      </c>
    </row>
    <row r="389" spans="1:15" x14ac:dyDescent="0.25">
      <c r="A389">
        <v>-4.5472477940023653E-2</v>
      </c>
      <c r="B389">
        <v>-4.4641636506989137E-2</v>
      </c>
      <c r="C389">
        <v>1.535028734180891E-2</v>
      </c>
      <c r="D389">
        <v>-7.452744180974262E-2</v>
      </c>
      <c r="E389">
        <v>-4.9727309857250483E-2</v>
      </c>
      <c r="F389">
        <v>-1.728444897748499E-2</v>
      </c>
      <c r="G389">
        <v>-2.867429443567714E-2</v>
      </c>
      <c r="H389">
        <v>-2.592261998183278E-3</v>
      </c>
      <c r="I389">
        <v>-0.1043655242111544</v>
      </c>
      <c r="J389">
        <v>-7.5635621967486175E-2</v>
      </c>
      <c r="K389">
        <v>201</v>
      </c>
      <c r="M389">
        <f t="shared" si="18"/>
        <v>87.480177569362141</v>
      </c>
      <c r="N389">
        <f t="shared" si="19"/>
        <v>113.51982243063786</v>
      </c>
      <c r="O389">
        <f t="shared" si="20"/>
        <v>12886.75008468355</v>
      </c>
    </row>
    <row r="390" spans="1:15" x14ac:dyDescent="0.25">
      <c r="A390">
        <v>5.2606060237500703E-2</v>
      </c>
      <c r="B390">
        <v>5.0680118739818619E-2</v>
      </c>
      <c r="C390">
        <v>-2.4528759391780671E-2</v>
      </c>
      <c r="D390">
        <v>5.6300895272529322E-2</v>
      </c>
      <c r="E390">
        <v>-7.072771253015731E-3</v>
      </c>
      <c r="F390">
        <v>-5.0716589676931354E-3</v>
      </c>
      <c r="G390">
        <v>-2.1311018827503261E-2</v>
      </c>
      <c r="H390">
        <v>-2.592261998183278E-3</v>
      </c>
      <c r="I390">
        <v>2.6716841320104621E-2</v>
      </c>
      <c r="J390">
        <v>-3.8356659733976069E-2</v>
      </c>
      <c r="K390">
        <v>110</v>
      </c>
      <c r="M390">
        <f t="shared" si="18"/>
        <v>164.16826889438971</v>
      </c>
      <c r="N390">
        <f t="shared" si="19"/>
        <v>-54.168268894389712</v>
      </c>
      <c r="O390">
        <f t="shared" si="20"/>
        <v>2934.2013550149081</v>
      </c>
    </row>
    <row r="391" spans="1:15" x14ac:dyDescent="0.25">
      <c r="A391">
        <v>-5.5145549788100249E-3</v>
      </c>
      <c r="B391">
        <v>5.0680118739818619E-2</v>
      </c>
      <c r="C391">
        <v>1.338730381358506E-3</v>
      </c>
      <c r="D391">
        <v>-8.4855994737290399E-2</v>
      </c>
      <c r="E391">
        <v>-1.120062982761909E-2</v>
      </c>
      <c r="F391">
        <v>-1.6658152053905941E-2</v>
      </c>
      <c r="G391">
        <v>4.8640099450148619E-2</v>
      </c>
      <c r="H391">
        <v>-3.9493382874093291E-2</v>
      </c>
      <c r="I391">
        <v>-4.1176166918895148E-2</v>
      </c>
      <c r="J391">
        <v>-8.8061942711989541E-2</v>
      </c>
      <c r="K391">
        <v>51</v>
      </c>
      <c r="M391">
        <f t="shared" si="18"/>
        <v>105.09092170829706</v>
      </c>
      <c r="N391">
        <f t="shared" si="19"/>
        <v>-54.09092170829706</v>
      </c>
      <c r="O391">
        <f t="shared" si="20"/>
        <v>2925.827811253122</v>
      </c>
    </row>
    <row r="392" spans="1:15" x14ac:dyDescent="0.25">
      <c r="A392">
        <v>9.0155988252676577E-3</v>
      </c>
      <c r="B392">
        <v>5.0680118739818619E-2</v>
      </c>
      <c r="C392">
        <v>6.9240891035848851E-2</v>
      </c>
      <c r="D392">
        <v>5.9743746248378582E-2</v>
      </c>
      <c r="E392">
        <v>1.769438019460445E-2</v>
      </c>
      <c r="F392">
        <v>-2.323426975148617E-2</v>
      </c>
      <c r="G392">
        <v>-4.7082483456111851E-2</v>
      </c>
      <c r="H392">
        <v>3.4308858877726729E-2</v>
      </c>
      <c r="I392">
        <v>0.10329701884639859</v>
      </c>
      <c r="J392">
        <v>7.3480226966554235E-2</v>
      </c>
      <c r="K392">
        <v>277</v>
      </c>
      <c r="M392">
        <f t="shared" si="18"/>
        <v>264.0476438443697</v>
      </c>
      <c r="N392">
        <f t="shared" si="19"/>
        <v>12.952356155630298</v>
      </c>
      <c r="O392">
        <f t="shared" si="20"/>
        <v>167.76352998229407</v>
      </c>
    </row>
    <row r="393" spans="1:15" x14ac:dyDescent="0.25">
      <c r="A393">
        <v>-2.3677247233907128E-2</v>
      </c>
      <c r="B393">
        <v>-4.4641636506989137E-2</v>
      </c>
      <c r="C393">
        <v>-6.9796866494774276E-2</v>
      </c>
      <c r="D393">
        <v>-6.4198888882194827E-2</v>
      </c>
      <c r="E393">
        <v>-5.9358979864658323E-2</v>
      </c>
      <c r="F393">
        <v>-5.0478185927175692E-2</v>
      </c>
      <c r="G393">
        <v>1.9186997017453088E-2</v>
      </c>
      <c r="H393">
        <v>-3.9493382874093291E-2</v>
      </c>
      <c r="I393">
        <v>-8.9133352249907233E-2</v>
      </c>
      <c r="J393">
        <v>-5.0782980478479442E-2</v>
      </c>
      <c r="K393">
        <v>63</v>
      </c>
      <c r="M393">
        <f t="shared" si="18"/>
        <v>46.148746203471063</v>
      </c>
      <c r="N393">
        <f t="shared" si="19"/>
        <v>16.851253796528937</v>
      </c>
      <c r="O393">
        <f t="shared" si="20"/>
        <v>283.9647545150309</v>
      </c>
    </row>
    <row r="394" spans="1:15" x14ac:dyDescent="0.25">
      <c r="A394">
        <v>-4.1839939489004233E-2</v>
      </c>
      <c r="B394">
        <v>5.0680118739818619E-2</v>
      </c>
      <c r="C394">
        <v>-2.9917819761184659E-2</v>
      </c>
      <c r="D394">
        <v>-2.2275713169081289E-3</v>
      </c>
      <c r="E394">
        <v>2.1822238769207809E-2</v>
      </c>
      <c r="F394">
        <v>3.6577086450315023E-2</v>
      </c>
      <c r="G394">
        <v>1.182372140927921E-2</v>
      </c>
      <c r="H394">
        <v>-2.592261998183278E-3</v>
      </c>
      <c r="I394">
        <v>-4.1176166918895148E-2</v>
      </c>
      <c r="J394">
        <v>6.519601313688532E-2</v>
      </c>
      <c r="K394">
        <v>118</v>
      </c>
      <c r="M394">
        <f t="shared" si="18"/>
        <v>115.49500601235286</v>
      </c>
      <c r="N394">
        <f t="shared" si="19"/>
        <v>2.5049939876471399</v>
      </c>
      <c r="O394">
        <f t="shared" si="20"/>
        <v>6.2749948781483189</v>
      </c>
    </row>
    <row r="395" spans="1:15" x14ac:dyDescent="0.25">
      <c r="A395">
        <v>-7.4532785548179006E-2</v>
      </c>
      <c r="B395">
        <v>-4.4641636506989137E-2</v>
      </c>
      <c r="C395">
        <v>-4.608500086939666E-2</v>
      </c>
      <c r="D395">
        <v>-4.3541783027099268E-2</v>
      </c>
      <c r="E395">
        <v>-2.9088016984233661E-2</v>
      </c>
      <c r="F395">
        <v>-2.323426975148617E-2</v>
      </c>
      <c r="G395">
        <v>1.5505359213366149E-2</v>
      </c>
      <c r="H395">
        <v>-3.9493382874093291E-2</v>
      </c>
      <c r="I395">
        <v>-3.9808826527400823E-2</v>
      </c>
      <c r="J395">
        <v>-2.1788232074638241E-2</v>
      </c>
      <c r="K395">
        <v>69</v>
      </c>
      <c r="M395">
        <f t="shared" si="18"/>
        <v>90.775634108753408</v>
      </c>
      <c r="N395">
        <f t="shared" si="19"/>
        <v>-21.775634108753408</v>
      </c>
      <c r="O395">
        <f t="shared" si="20"/>
        <v>474.17824083830482</v>
      </c>
    </row>
    <row r="396" spans="1:15" x14ac:dyDescent="0.25">
      <c r="A396">
        <v>3.4443367982403598E-2</v>
      </c>
      <c r="B396">
        <v>-4.4641636506989137E-2</v>
      </c>
      <c r="C396">
        <v>1.858372356345131E-2</v>
      </c>
      <c r="D396">
        <v>5.6300895272529322E-2</v>
      </c>
      <c r="E396">
        <v>1.2190568761799961E-2</v>
      </c>
      <c r="F396">
        <v>-5.4549115930439672E-2</v>
      </c>
      <c r="G396">
        <v>-6.9172310280633503E-2</v>
      </c>
      <c r="H396">
        <v>7.1209979753636743E-2</v>
      </c>
      <c r="I396">
        <v>0.13007865931446799</v>
      </c>
      <c r="J396">
        <v>7.206516329202944E-3</v>
      </c>
      <c r="K396">
        <v>273</v>
      </c>
      <c r="M396">
        <f t="shared" si="18"/>
        <v>247.21318800901346</v>
      </c>
      <c r="N396">
        <f t="shared" si="19"/>
        <v>25.786811990986536</v>
      </c>
      <c r="O396">
        <f t="shared" si="20"/>
        <v>664.95967265848697</v>
      </c>
    </row>
    <row r="397" spans="1:15" x14ac:dyDescent="0.25">
      <c r="A397">
        <v>-6.0002631744101337E-2</v>
      </c>
      <c r="B397">
        <v>-4.4641636506989137E-2</v>
      </c>
      <c r="C397">
        <v>1.338730381358506E-3</v>
      </c>
      <c r="D397">
        <v>-2.9770379123702222E-2</v>
      </c>
      <c r="E397">
        <v>-7.072771253015731E-3</v>
      </c>
      <c r="F397">
        <v>-2.1668527442538499E-2</v>
      </c>
      <c r="G397">
        <v>1.182372140927921E-2</v>
      </c>
      <c r="H397">
        <v>-2.592261998183278E-3</v>
      </c>
      <c r="I397">
        <v>3.1812463179073623E-2</v>
      </c>
      <c r="J397">
        <v>-5.4925087393313893E-2</v>
      </c>
      <c r="K397">
        <v>258</v>
      </c>
      <c r="M397">
        <f t="shared" si="18"/>
        <v>159.11480187947964</v>
      </c>
      <c r="N397">
        <f t="shared" si="19"/>
        <v>98.885198120520357</v>
      </c>
      <c r="O397">
        <f t="shared" si="20"/>
        <v>9778.2824073345637</v>
      </c>
    </row>
    <row r="398" spans="1:15" x14ac:dyDescent="0.25">
      <c r="A398">
        <v>-8.5430400901237283E-2</v>
      </c>
      <c r="B398">
        <v>5.0680118739818619E-2</v>
      </c>
      <c r="C398">
        <v>-3.0995631835065481E-2</v>
      </c>
      <c r="D398">
        <v>-2.2884677172003699E-2</v>
      </c>
      <c r="E398">
        <v>-6.3486838439261686E-2</v>
      </c>
      <c r="F398">
        <v>-5.4235967468650122E-2</v>
      </c>
      <c r="G398">
        <v>1.9186997017453088E-2</v>
      </c>
      <c r="H398">
        <v>-3.9493382874093291E-2</v>
      </c>
      <c r="I398">
        <v>-9.6434949940487125E-2</v>
      </c>
      <c r="J398">
        <v>-3.4214552819141618E-2</v>
      </c>
      <c r="K398">
        <v>43</v>
      </c>
      <c r="M398">
        <f t="shared" si="18"/>
        <v>76.416083060529147</v>
      </c>
      <c r="N398">
        <f t="shared" si="19"/>
        <v>-33.416083060529147</v>
      </c>
      <c r="O398">
        <f t="shared" si="20"/>
        <v>1116.634607108183</v>
      </c>
    </row>
    <row r="399" spans="1:15" x14ac:dyDescent="0.25">
      <c r="A399">
        <v>5.2606060237500703E-2</v>
      </c>
      <c r="B399">
        <v>-4.4641636506989137E-2</v>
      </c>
      <c r="C399">
        <v>-4.0503299880454919E-3</v>
      </c>
      <c r="D399">
        <v>-3.0906519945732468E-2</v>
      </c>
      <c r="E399">
        <v>-4.6975404140848227E-2</v>
      </c>
      <c r="F399">
        <v>-5.8306897471914067E-2</v>
      </c>
      <c r="G399">
        <v>-1.394774321932938E-2</v>
      </c>
      <c r="H399">
        <v>-2.5839968150006581E-2</v>
      </c>
      <c r="I399">
        <v>3.6060333995316073E-2</v>
      </c>
      <c r="J399">
        <v>2.377494398854077E-2</v>
      </c>
      <c r="K399">
        <v>198</v>
      </c>
      <c r="M399">
        <f t="shared" si="18"/>
        <v>158.69893326659917</v>
      </c>
      <c r="N399">
        <f t="shared" si="19"/>
        <v>39.30106673340083</v>
      </c>
      <c r="O399">
        <f t="shared" si="20"/>
        <v>1544.5738463832254</v>
      </c>
    </row>
    <row r="400" spans="1:15" x14ac:dyDescent="0.25">
      <c r="A400">
        <v>1.264813727628708E-2</v>
      </c>
      <c r="B400">
        <v>-4.4641636506989137E-2</v>
      </c>
      <c r="C400">
        <v>1.535028734180891E-2</v>
      </c>
      <c r="D400">
        <v>-3.3213230099551481E-2</v>
      </c>
      <c r="E400">
        <v>4.1085578784023503E-2</v>
      </c>
      <c r="F400">
        <v>3.2193007985261507E-2</v>
      </c>
      <c r="G400">
        <v>-2.9028298070685561E-3</v>
      </c>
      <c r="H400">
        <v>-2.592261998183278E-3</v>
      </c>
      <c r="I400">
        <v>4.5066549373958868E-2</v>
      </c>
      <c r="J400">
        <v>-6.7351408137817259E-2</v>
      </c>
      <c r="K400">
        <v>242</v>
      </c>
      <c r="M400">
        <f t="shared" si="18"/>
        <v>172.61555446383824</v>
      </c>
      <c r="N400">
        <f t="shared" si="19"/>
        <v>69.384445536161763</v>
      </c>
      <c r="O400">
        <f t="shared" si="20"/>
        <v>4814.2012823605983</v>
      </c>
    </row>
    <row r="401" spans="1:15" x14ac:dyDescent="0.25">
      <c r="A401">
        <v>5.9871137139539538E-2</v>
      </c>
      <c r="B401">
        <v>5.0680118739818619E-2</v>
      </c>
      <c r="C401">
        <v>2.2894971858974499E-2</v>
      </c>
      <c r="D401">
        <v>4.9415193320830803E-2</v>
      </c>
      <c r="E401">
        <v>1.6318427336403318E-2</v>
      </c>
      <c r="F401">
        <v>1.183835796894174E-2</v>
      </c>
      <c r="G401">
        <v>-1.394774321932938E-2</v>
      </c>
      <c r="H401">
        <v>-2.592261998183278E-3</v>
      </c>
      <c r="I401">
        <v>3.954249419232167E-2</v>
      </c>
      <c r="J401">
        <v>1.9632837073706309E-2</v>
      </c>
      <c r="K401">
        <v>232</v>
      </c>
      <c r="M401">
        <f t="shared" si="18"/>
        <v>198.36625581300964</v>
      </c>
      <c r="N401">
        <f t="shared" si="19"/>
        <v>33.633744186990356</v>
      </c>
      <c r="O401">
        <f t="shared" si="20"/>
        <v>1131.2287480359075</v>
      </c>
    </row>
    <row r="402" spans="1:15" x14ac:dyDescent="0.25">
      <c r="A402">
        <v>-2.3677247233907128E-2</v>
      </c>
      <c r="B402">
        <v>-4.4641636506989137E-2</v>
      </c>
      <c r="C402">
        <v>4.5529025410471297E-2</v>
      </c>
      <c r="D402">
        <v>9.0729405031021934E-2</v>
      </c>
      <c r="E402">
        <v>-1.80803941186247E-2</v>
      </c>
      <c r="F402">
        <v>-3.544705976127803E-2</v>
      </c>
      <c r="G402">
        <v>7.0729926274670271E-2</v>
      </c>
      <c r="H402">
        <v>-3.9493382874093291E-2</v>
      </c>
      <c r="I402">
        <v>-3.4521777013622662E-2</v>
      </c>
      <c r="J402">
        <v>-9.3619113301348783E-3</v>
      </c>
      <c r="K402">
        <v>175</v>
      </c>
      <c r="M402">
        <f t="shared" si="18"/>
        <v>182.05003303981141</v>
      </c>
      <c r="N402">
        <f t="shared" si="19"/>
        <v>-7.0500330398114102</v>
      </c>
      <c r="O402">
        <f t="shared" si="20"/>
        <v>49.702965862432514</v>
      </c>
    </row>
    <row r="403" spans="1:15" x14ac:dyDescent="0.25">
      <c r="A403">
        <v>1.6280675727306501E-2</v>
      </c>
      <c r="B403">
        <v>-4.4641636506989137E-2</v>
      </c>
      <c r="C403">
        <v>-4.5007188795515879E-2</v>
      </c>
      <c r="D403">
        <v>-5.7313186930496307E-2</v>
      </c>
      <c r="E403">
        <v>-3.4591828417038152E-2</v>
      </c>
      <c r="F403">
        <v>-5.3922819006860592E-2</v>
      </c>
      <c r="G403">
        <v>7.4411564078757209E-2</v>
      </c>
      <c r="H403">
        <v>-7.6394503750003298E-2</v>
      </c>
      <c r="I403">
        <v>-4.2570854118219377E-2</v>
      </c>
      <c r="J403">
        <v>4.0343371647878587E-2</v>
      </c>
      <c r="K403">
        <v>93</v>
      </c>
      <c r="M403">
        <f t="shared" si="18"/>
        <v>85.948035176805689</v>
      </c>
      <c r="N403">
        <f t="shared" si="19"/>
        <v>7.0519648231943108</v>
      </c>
      <c r="O403">
        <f t="shared" si="20"/>
        <v>49.730207867569966</v>
      </c>
    </row>
    <row r="404" spans="1:15" x14ac:dyDescent="0.25">
      <c r="A404">
        <v>0.1107266754538114</v>
      </c>
      <c r="B404">
        <v>5.0680118739818619E-2</v>
      </c>
      <c r="C404">
        <v>-3.3151255982827067E-2</v>
      </c>
      <c r="D404">
        <v>-2.2884677172003699E-2</v>
      </c>
      <c r="E404">
        <v>-4.320865536613489E-3</v>
      </c>
      <c r="F404">
        <v>2.0293366437259191E-2</v>
      </c>
      <c r="G404">
        <v>-6.1809034672459622E-2</v>
      </c>
      <c r="H404">
        <v>7.1209979753636743E-2</v>
      </c>
      <c r="I404">
        <v>1.5568459328120621E-2</v>
      </c>
      <c r="J404">
        <v>4.4485478562713038E-2</v>
      </c>
      <c r="K404">
        <v>168</v>
      </c>
      <c r="M404">
        <f t="shared" si="18"/>
        <v>140.82297569631339</v>
      </c>
      <c r="N404">
        <f t="shared" si="19"/>
        <v>27.177024303686608</v>
      </c>
      <c r="O404">
        <f t="shared" si="20"/>
        <v>738.59065000317253</v>
      </c>
    </row>
    <row r="405" spans="1:15" x14ac:dyDescent="0.25">
      <c r="A405">
        <v>-2.0044708782887711E-2</v>
      </c>
      <c r="B405">
        <v>-4.4641636506989137E-2</v>
      </c>
      <c r="C405">
        <v>9.7264004956749653E-2</v>
      </c>
      <c r="D405">
        <v>-5.67042229275739E-3</v>
      </c>
      <c r="E405">
        <v>-5.6968183948146092E-3</v>
      </c>
      <c r="F405">
        <v>-2.3860566675065229E-2</v>
      </c>
      <c r="G405">
        <v>-2.1311018827503261E-2</v>
      </c>
      <c r="H405">
        <v>-2.592261998183278E-3</v>
      </c>
      <c r="I405">
        <v>6.1684292931920341E-2</v>
      </c>
      <c r="J405">
        <v>4.0343371647878587E-2</v>
      </c>
      <c r="K405">
        <v>275</v>
      </c>
      <c r="M405">
        <f t="shared" si="18"/>
        <v>239.34583949251024</v>
      </c>
      <c r="N405">
        <f t="shared" si="19"/>
        <v>35.654160507489763</v>
      </c>
      <c r="O405">
        <f t="shared" si="20"/>
        <v>1271.2191614938426</v>
      </c>
    </row>
    <row r="406" spans="1:15" x14ac:dyDescent="0.25">
      <c r="A406">
        <v>-1.641217033186829E-2</v>
      </c>
      <c r="B406">
        <v>-4.4641636506989137E-2</v>
      </c>
      <c r="C406">
        <v>5.4151522001517662E-2</v>
      </c>
      <c r="D406">
        <v>7.0072299175926361E-2</v>
      </c>
      <c r="E406">
        <v>-3.3215875558837017E-2</v>
      </c>
      <c r="F406">
        <v>-2.7931496678329198E-2</v>
      </c>
      <c r="G406">
        <v>8.1420836051922674E-3</v>
      </c>
      <c r="H406">
        <v>-3.9493382874093291E-2</v>
      </c>
      <c r="I406">
        <v>-2.712902329694316E-2</v>
      </c>
      <c r="J406">
        <v>-9.3619113301348783E-3</v>
      </c>
      <c r="K406">
        <v>293</v>
      </c>
      <c r="M406">
        <f t="shared" si="18"/>
        <v>185.4411868623356</v>
      </c>
      <c r="N406">
        <f t="shared" si="19"/>
        <v>107.5588131376644</v>
      </c>
      <c r="O406">
        <f t="shared" si="20"/>
        <v>11568.898283583008</v>
      </c>
    </row>
    <row r="407" spans="1:15" x14ac:dyDescent="0.25">
      <c r="A407">
        <v>4.8973521786481282E-2</v>
      </c>
      <c r="B407">
        <v>5.0680118739818619E-2</v>
      </c>
      <c r="C407">
        <v>0.1231314947298888</v>
      </c>
      <c r="D407">
        <v>8.3843703079323414E-2</v>
      </c>
      <c r="E407">
        <v>-0.1047654241852953</v>
      </c>
      <c r="F407">
        <v>-0.1008950882752908</v>
      </c>
      <c r="G407">
        <v>-6.9172310280633503E-2</v>
      </c>
      <c r="H407">
        <v>-2.592261998183278E-3</v>
      </c>
      <c r="I407">
        <v>3.6643732562353669E-2</v>
      </c>
      <c r="J407">
        <v>-3.007244590430716E-2</v>
      </c>
      <c r="K407">
        <v>281</v>
      </c>
      <c r="M407">
        <f t="shared" si="18"/>
        <v>262.8952328888841</v>
      </c>
      <c r="N407">
        <f t="shared" si="19"/>
        <v>18.104767111115905</v>
      </c>
      <c r="O407">
        <f t="shared" si="20"/>
        <v>327.78259214774414</v>
      </c>
    </row>
    <row r="408" spans="1:15" x14ac:dyDescent="0.25">
      <c r="A408">
        <v>-5.6370093293081923E-2</v>
      </c>
      <c r="B408">
        <v>-4.4641636506989137E-2</v>
      </c>
      <c r="C408">
        <v>-8.0574987233582279E-2</v>
      </c>
      <c r="D408">
        <v>-8.4855994737290399E-2</v>
      </c>
      <c r="E408">
        <v>-3.7343734133440387E-2</v>
      </c>
      <c r="F408">
        <v>-3.7012802070225698E-2</v>
      </c>
      <c r="G408">
        <v>3.3913548233800862E-2</v>
      </c>
      <c r="H408">
        <v>-3.9493382874093291E-2</v>
      </c>
      <c r="I408">
        <v>-5.6153102007063332E-2</v>
      </c>
      <c r="J408">
        <v>-0.13776722569000299</v>
      </c>
      <c r="K408">
        <v>72</v>
      </c>
      <c r="M408">
        <f t="shared" si="18"/>
        <v>48.124312802066243</v>
      </c>
      <c r="N408">
        <f t="shared" si="19"/>
        <v>23.875687197933757</v>
      </c>
      <c r="O408">
        <f t="shared" si="20"/>
        <v>570.04843917357789</v>
      </c>
    </row>
    <row r="409" spans="1:15" x14ac:dyDescent="0.25">
      <c r="A409">
        <v>2.717829108036476E-2</v>
      </c>
      <c r="B409">
        <v>-4.4641636506989137E-2</v>
      </c>
      <c r="C409">
        <v>9.295275666122646E-2</v>
      </c>
      <c r="D409">
        <v>-5.2734195132616797E-2</v>
      </c>
      <c r="E409">
        <v>8.0627101871965992E-3</v>
      </c>
      <c r="F409">
        <v>3.9708571068210373E-2</v>
      </c>
      <c r="G409">
        <v>-2.867429443567714E-2</v>
      </c>
      <c r="H409">
        <v>2.1024455362399119E-2</v>
      </c>
      <c r="I409">
        <v>-4.8359261775545531E-2</v>
      </c>
      <c r="J409">
        <v>1.9632837073706309E-2</v>
      </c>
      <c r="K409">
        <v>140</v>
      </c>
      <c r="M409">
        <f t="shared" si="18"/>
        <v>170.97917615970422</v>
      </c>
      <c r="N409">
        <f t="shared" si="19"/>
        <v>-30.979176159704224</v>
      </c>
      <c r="O409">
        <f t="shared" si="20"/>
        <v>959.70935553398658</v>
      </c>
    </row>
    <row r="410" spans="1:15" x14ac:dyDescent="0.25">
      <c r="A410">
        <v>6.3503675590558972E-2</v>
      </c>
      <c r="B410">
        <v>-4.4641636506989137E-2</v>
      </c>
      <c r="C410">
        <v>-5.0396249164919867E-2</v>
      </c>
      <c r="D410">
        <v>0.10794365991026821</v>
      </c>
      <c r="E410">
        <v>3.1453908776615649E-2</v>
      </c>
      <c r="F410">
        <v>1.9353921051890582E-2</v>
      </c>
      <c r="G410">
        <v>-1.762938102341632E-2</v>
      </c>
      <c r="H410">
        <v>2.3607533823712831E-2</v>
      </c>
      <c r="I410">
        <v>5.8038051887935392E-2</v>
      </c>
      <c r="J410">
        <v>4.0343371647878587E-2</v>
      </c>
      <c r="K410">
        <v>189</v>
      </c>
      <c r="M410">
        <f t="shared" si="18"/>
        <v>182.19019091829202</v>
      </c>
      <c r="N410">
        <f t="shared" si="19"/>
        <v>6.8098090817079822</v>
      </c>
      <c r="O410">
        <f t="shared" si="20"/>
        <v>46.373499729312513</v>
      </c>
    </row>
    <row r="411" spans="1:15" x14ac:dyDescent="0.25">
      <c r="A411">
        <v>-5.2737554842062502E-2</v>
      </c>
      <c r="B411">
        <v>5.0680118739818619E-2</v>
      </c>
      <c r="C411">
        <v>-1.159501450521108E-2</v>
      </c>
      <c r="D411">
        <v>5.6300895272529322E-2</v>
      </c>
      <c r="E411">
        <v>5.6221060224235828E-2</v>
      </c>
      <c r="F411">
        <v>7.2902308017901055E-2</v>
      </c>
      <c r="G411">
        <v>-3.9719207847937969E-2</v>
      </c>
      <c r="H411">
        <v>7.1209979753636743E-2</v>
      </c>
      <c r="I411">
        <v>3.0563625621508769E-2</v>
      </c>
      <c r="J411">
        <v>-5.2198044153004232E-3</v>
      </c>
      <c r="K411">
        <v>181</v>
      </c>
      <c r="M411">
        <f t="shared" si="18"/>
        <v>179.72827993104931</v>
      </c>
      <c r="N411">
        <f t="shared" si="19"/>
        <v>1.2717200689506853</v>
      </c>
      <c r="O411">
        <f t="shared" si="20"/>
        <v>1.6172719337719359</v>
      </c>
    </row>
    <row r="412" spans="1:15" x14ac:dyDescent="0.25">
      <c r="A412">
        <v>-9.1470934298294448E-3</v>
      </c>
      <c r="B412">
        <v>5.0680118739818619E-2</v>
      </c>
      <c r="C412">
        <v>-2.7762195613423069E-2</v>
      </c>
      <c r="D412">
        <v>8.1009816106396553E-3</v>
      </c>
      <c r="E412">
        <v>4.7965343075029108E-2</v>
      </c>
      <c r="F412">
        <v>3.7203383373894047E-2</v>
      </c>
      <c r="G412">
        <v>-2.867429443567714E-2</v>
      </c>
      <c r="H412">
        <v>3.4308858877726729E-2</v>
      </c>
      <c r="I412">
        <v>6.6050666582092341E-2</v>
      </c>
      <c r="J412">
        <v>-4.2498766648810533E-2</v>
      </c>
      <c r="K412">
        <v>209</v>
      </c>
      <c r="M412">
        <f t="shared" si="18"/>
        <v>171.76069039771994</v>
      </c>
      <c r="N412">
        <f t="shared" si="19"/>
        <v>37.239309602280059</v>
      </c>
      <c r="O412">
        <f t="shared" si="20"/>
        <v>1386.7661796544678</v>
      </c>
    </row>
    <row r="413" spans="1:15" x14ac:dyDescent="0.25">
      <c r="A413">
        <v>5.3830603742482368E-3</v>
      </c>
      <c r="B413">
        <v>-4.4641636506989137E-2</v>
      </c>
      <c r="C413">
        <v>5.8462770297040889E-2</v>
      </c>
      <c r="D413">
        <v>-4.3541783027099268E-2</v>
      </c>
      <c r="E413">
        <v>-7.3118508446669533E-2</v>
      </c>
      <c r="F413">
        <v>-7.2398578252443141E-2</v>
      </c>
      <c r="G413">
        <v>1.9186997017453088E-2</v>
      </c>
      <c r="H413">
        <v>-7.6394503750003298E-2</v>
      </c>
      <c r="I413">
        <v>-5.1403873047272987E-2</v>
      </c>
      <c r="J413">
        <v>-2.5930338989472699E-2</v>
      </c>
      <c r="K413">
        <v>136</v>
      </c>
      <c r="M413">
        <f t="shared" si="18"/>
        <v>143.56756353348726</v>
      </c>
      <c r="N413">
        <f t="shared" si="19"/>
        <v>-7.5675635334872595</v>
      </c>
      <c r="O413">
        <f t="shared" si="20"/>
        <v>57.26801783336618</v>
      </c>
    </row>
    <row r="414" spans="1:15" x14ac:dyDescent="0.25">
      <c r="A414">
        <v>7.4401290943617221E-2</v>
      </c>
      <c r="B414">
        <v>-4.4641636506989137E-2</v>
      </c>
      <c r="C414">
        <v>8.5408072144060834E-2</v>
      </c>
      <c r="D414">
        <v>6.3186597224227828E-2</v>
      </c>
      <c r="E414">
        <v>1.4942474478202201E-2</v>
      </c>
      <c r="F414">
        <v>1.309095181609988E-2</v>
      </c>
      <c r="G414">
        <v>1.5505359213366149E-2</v>
      </c>
      <c r="H414">
        <v>-2.592261998183278E-3</v>
      </c>
      <c r="I414">
        <v>6.2067354476892968E-3</v>
      </c>
      <c r="J414">
        <v>8.5906547711057601E-2</v>
      </c>
      <c r="K414">
        <v>261</v>
      </c>
      <c r="M414">
        <f t="shared" si="18"/>
        <v>224.06115442857592</v>
      </c>
      <c r="N414">
        <f t="shared" si="19"/>
        <v>36.938845571424082</v>
      </c>
      <c r="O414">
        <f t="shared" si="20"/>
        <v>1364.4783121495166</v>
      </c>
    </row>
    <row r="415" spans="1:15" x14ac:dyDescent="0.25">
      <c r="A415">
        <v>-5.2737554842062502E-2</v>
      </c>
      <c r="B415">
        <v>-4.4641636506989137E-2</v>
      </c>
      <c r="C415">
        <v>-8.1689376640308559E-4</v>
      </c>
      <c r="D415">
        <v>-2.6327528147852958E-2</v>
      </c>
      <c r="E415">
        <v>1.0814615903598839E-2</v>
      </c>
      <c r="F415">
        <v>7.1411310420987214E-3</v>
      </c>
      <c r="G415">
        <v>4.8640099450148619E-2</v>
      </c>
      <c r="H415">
        <v>-3.9493382874093291E-2</v>
      </c>
      <c r="I415">
        <v>-3.5816192584237301E-2</v>
      </c>
      <c r="J415">
        <v>1.9632837073706309E-2</v>
      </c>
      <c r="K415">
        <v>113</v>
      </c>
      <c r="M415">
        <f t="shared" si="18"/>
        <v>125.01304954397507</v>
      </c>
      <c r="N415">
        <f t="shared" si="19"/>
        <v>-12.013049543975072</v>
      </c>
      <c r="O415">
        <f t="shared" si="20"/>
        <v>144.31335934599969</v>
      </c>
    </row>
    <row r="416" spans="1:15" x14ac:dyDescent="0.25">
      <c r="A416">
        <v>8.1666367845656063E-2</v>
      </c>
      <c r="B416">
        <v>5.0680118739818619E-2</v>
      </c>
      <c r="C416">
        <v>6.7277907507625042E-3</v>
      </c>
      <c r="D416">
        <v>-4.5342814707271398E-3</v>
      </c>
      <c r="E416">
        <v>0.10988322169407951</v>
      </c>
      <c r="F416">
        <v>0.11705624113022541</v>
      </c>
      <c r="G416">
        <v>-3.2355932239764087E-2</v>
      </c>
      <c r="H416">
        <v>9.1874607444146342E-2</v>
      </c>
      <c r="I416">
        <v>5.4719972537909042E-2</v>
      </c>
      <c r="J416">
        <v>7.206516329202944E-3</v>
      </c>
      <c r="K416">
        <v>131</v>
      </c>
      <c r="M416">
        <f t="shared" si="18"/>
        <v>188.56336678580794</v>
      </c>
      <c r="N416">
        <f t="shared" si="19"/>
        <v>-57.563366785807943</v>
      </c>
      <c r="O416">
        <f t="shared" si="20"/>
        <v>3313.541195717457</v>
      </c>
    </row>
    <row r="417" spans="1:15" x14ac:dyDescent="0.25">
      <c r="A417">
        <v>-5.5145549788100249E-3</v>
      </c>
      <c r="B417">
        <v>-4.4641636506989137E-2</v>
      </c>
      <c r="C417">
        <v>8.8834148985240946E-3</v>
      </c>
      <c r="D417">
        <v>-5.0427484978797787E-2</v>
      </c>
      <c r="E417">
        <v>2.5950097343811169E-2</v>
      </c>
      <c r="F417">
        <v>4.7224134151159183E-2</v>
      </c>
      <c r="G417">
        <v>-4.3400845652024907E-2</v>
      </c>
      <c r="H417">
        <v>7.1209979753636743E-2</v>
      </c>
      <c r="I417">
        <v>1.4820979914103669E-2</v>
      </c>
      <c r="J417">
        <v>3.064409414368488E-3</v>
      </c>
      <c r="K417">
        <v>174</v>
      </c>
      <c r="M417">
        <f t="shared" si="18"/>
        <v>156.63431611520178</v>
      </c>
      <c r="N417">
        <f t="shared" si="19"/>
        <v>17.365683884798216</v>
      </c>
      <c r="O417">
        <f t="shared" si="20"/>
        <v>301.56697678674044</v>
      </c>
    </row>
    <row r="418" spans="1:15" x14ac:dyDescent="0.25">
      <c r="A418">
        <v>-2.7309785684926549E-2</v>
      </c>
      <c r="B418">
        <v>-4.4641636506989137E-2</v>
      </c>
      <c r="C418">
        <v>8.001901177465684E-2</v>
      </c>
      <c r="D418">
        <v>9.8751247804750697E-2</v>
      </c>
      <c r="E418">
        <v>-2.944912678412368E-3</v>
      </c>
      <c r="F418">
        <v>1.810132720473244E-2</v>
      </c>
      <c r="G418">
        <v>-1.762938102341632E-2</v>
      </c>
      <c r="H418">
        <v>3.3119173419623288E-3</v>
      </c>
      <c r="I418">
        <v>-2.9526426783363261E-2</v>
      </c>
      <c r="J418">
        <v>3.6201264733044143E-2</v>
      </c>
      <c r="K418">
        <v>257</v>
      </c>
      <c r="M418">
        <f t="shared" si="18"/>
        <v>211.15198249604845</v>
      </c>
      <c r="N418">
        <f t="shared" si="19"/>
        <v>45.848017503951553</v>
      </c>
      <c r="O418">
        <f t="shared" si="20"/>
        <v>2102.0407090426479</v>
      </c>
    </row>
    <row r="419" spans="1:15" x14ac:dyDescent="0.25">
      <c r="A419">
        <v>-5.2737554842062502E-2</v>
      </c>
      <c r="B419">
        <v>-4.4641636506989137E-2</v>
      </c>
      <c r="C419">
        <v>7.1396515183610482E-2</v>
      </c>
      <c r="D419">
        <v>-7.452744180974262E-2</v>
      </c>
      <c r="E419">
        <v>-1.5328488402222449E-2</v>
      </c>
      <c r="F419">
        <v>-1.31387742621873E-3</v>
      </c>
      <c r="G419">
        <v>4.4604458011053274E-3</v>
      </c>
      <c r="H419">
        <v>-2.141183364489738E-2</v>
      </c>
      <c r="I419">
        <v>-4.6882534152731581E-2</v>
      </c>
      <c r="J419">
        <v>3.064409414368488E-3</v>
      </c>
      <c r="K419">
        <v>55</v>
      </c>
      <c r="M419">
        <f t="shared" si="18"/>
        <v>150.05827661750052</v>
      </c>
      <c r="N419">
        <f t="shared" si="19"/>
        <v>-95.058276617500525</v>
      </c>
      <c r="O419">
        <f t="shared" si="20"/>
        <v>9036.0759534892477</v>
      </c>
    </row>
    <row r="420" spans="1:15" x14ac:dyDescent="0.25">
      <c r="A420">
        <v>9.0155988252676577E-3</v>
      </c>
      <c r="B420">
        <v>-4.4641636506989137E-2</v>
      </c>
      <c r="C420">
        <v>-2.4528759391780671E-2</v>
      </c>
      <c r="D420">
        <v>-2.6327528147852958E-2</v>
      </c>
      <c r="E420">
        <v>9.8875598828470565E-2</v>
      </c>
      <c r="F420">
        <v>9.4196403419589403E-2</v>
      </c>
      <c r="G420">
        <v>7.0729926274670271E-2</v>
      </c>
      <c r="H420">
        <v>-2.592261998183278E-3</v>
      </c>
      <c r="I420">
        <v>-2.1395309255276829E-2</v>
      </c>
      <c r="J420">
        <v>7.206516329202944E-3</v>
      </c>
      <c r="K420">
        <v>84</v>
      </c>
      <c r="M420">
        <f t="shared" si="18"/>
        <v>120.41287219546089</v>
      </c>
      <c r="N420">
        <f t="shared" si="19"/>
        <v>-36.412872195460892</v>
      </c>
      <c r="O420">
        <f t="shared" si="20"/>
        <v>1325.8972615229688</v>
      </c>
    </row>
    <row r="421" spans="1:15" x14ac:dyDescent="0.25">
      <c r="A421">
        <v>-2.0044708782887711E-2</v>
      </c>
      <c r="B421">
        <v>-4.4641636506989137E-2</v>
      </c>
      <c r="C421">
        <v>-5.4707497460443059E-2</v>
      </c>
      <c r="D421">
        <v>-5.3870335954647047E-2</v>
      </c>
      <c r="E421">
        <v>-6.6238744155663928E-2</v>
      </c>
      <c r="F421">
        <v>-5.7367452086545478E-2</v>
      </c>
      <c r="G421">
        <v>1.182372140927921E-2</v>
      </c>
      <c r="H421">
        <v>-3.9493382874093291E-2</v>
      </c>
      <c r="I421">
        <v>-7.4092607943469349E-2</v>
      </c>
      <c r="J421">
        <v>-5.2198044153004232E-3</v>
      </c>
      <c r="K421">
        <v>42</v>
      </c>
      <c r="M421">
        <f t="shared" si="18"/>
        <v>66.564811995088021</v>
      </c>
      <c r="N421">
        <f t="shared" si="19"/>
        <v>-24.564811995088021</v>
      </c>
      <c r="O421">
        <f t="shared" si="20"/>
        <v>603.42998835402034</v>
      </c>
    </row>
    <row r="422" spans="1:15" x14ac:dyDescent="0.25">
      <c r="A422">
        <v>2.3545752629345339E-2</v>
      </c>
      <c r="B422">
        <v>-4.4641636506989137E-2</v>
      </c>
      <c r="C422">
        <v>-3.6384692204469479E-2</v>
      </c>
      <c r="D422">
        <v>7.9138836910882325E-5</v>
      </c>
      <c r="E422">
        <v>1.182945896190995E-3</v>
      </c>
      <c r="F422">
        <v>3.4698195679577777E-2</v>
      </c>
      <c r="G422">
        <v>-4.3400845652024907E-2</v>
      </c>
      <c r="H422">
        <v>3.4308858877726729E-2</v>
      </c>
      <c r="I422">
        <v>-3.3245592648227913E-2</v>
      </c>
      <c r="J422">
        <v>6.1053906222050869E-2</v>
      </c>
      <c r="K422">
        <v>146</v>
      </c>
      <c r="M422">
        <f t="shared" si="18"/>
        <v>118.62387646217087</v>
      </c>
      <c r="N422">
        <f t="shared" si="19"/>
        <v>27.37612353782913</v>
      </c>
      <c r="O422">
        <f t="shared" si="20"/>
        <v>749.45213995848212</v>
      </c>
    </row>
    <row r="423" spans="1:15" x14ac:dyDescent="0.25">
      <c r="A423">
        <v>3.8075906433423033E-2</v>
      </c>
      <c r="B423">
        <v>5.0680118739818619E-2</v>
      </c>
      <c r="C423">
        <v>1.6428099415689679E-2</v>
      </c>
      <c r="D423">
        <v>2.18723855140367E-2</v>
      </c>
      <c r="E423">
        <v>3.9709625925822382E-2</v>
      </c>
      <c r="F423">
        <v>4.5032094918632422E-2</v>
      </c>
      <c r="G423">
        <v>-4.3400845652024907E-2</v>
      </c>
      <c r="H423">
        <v>7.1209979753636743E-2</v>
      </c>
      <c r="I423">
        <v>4.9770200320699509E-2</v>
      </c>
      <c r="J423">
        <v>1.549073015887186E-2</v>
      </c>
      <c r="K423">
        <v>212</v>
      </c>
      <c r="M423">
        <f t="shared" si="18"/>
        <v>197.44999734232579</v>
      </c>
      <c r="N423">
        <f t="shared" si="19"/>
        <v>14.550002657674213</v>
      </c>
      <c r="O423">
        <f t="shared" si="20"/>
        <v>211.70257733832665</v>
      </c>
    </row>
    <row r="424" spans="1:15" x14ac:dyDescent="0.25">
      <c r="A424">
        <v>-7.8165323999198427E-2</v>
      </c>
      <c r="B424">
        <v>5.0680118739818619E-2</v>
      </c>
      <c r="C424">
        <v>7.7863387626895292E-2</v>
      </c>
      <c r="D424">
        <v>5.2858044296680062E-2</v>
      </c>
      <c r="E424">
        <v>7.8236305955453764E-2</v>
      </c>
      <c r="F424">
        <v>6.44472995495836E-2</v>
      </c>
      <c r="G424">
        <v>2.655027262562697E-2</v>
      </c>
      <c r="H424">
        <v>-2.592261998183278E-3</v>
      </c>
      <c r="I424">
        <v>4.0672828915957041E-2</v>
      </c>
      <c r="J424">
        <v>-9.3619113301348783E-3</v>
      </c>
      <c r="K424">
        <v>233</v>
      </c>
      <c r="M424">
        <f t="shared" si="18"/>
        <v>231.0674254408967</v>
      </c>
      <c r="N424">
        <f t="shared" si="19"/>
        <v>1.9325745591033012</v>
      </c>
      <c r="O424">
        <f t="shared" si="20"/>
        <v>3.7348444264933192</v>
      </c>
    </row>
    <row r="425" spans="1:15" x14ac:dyDescent="0.25">
      <c r="A425">
        <v>9.0155988252676577E-3</v>
      </c>
      <c r="B425">
        <v>5.0680118739818619E-2</v>
      </c>
      <c r="C425">
        <v>-3.9618128426111877E-2</v>
      </c>
      <c r="D425">
        <v>2.875808746573523E-2</v>
      </c>
      <c r="E425">
        <v>3.8333673067621261E-2</v>
      </c>
      <c r="F425">
        <v>7.3528604941480127E-2</v>
      </c>
      <c r="G425">
        <v>-7.2853948084720441E-2</v>
      </c>
      <c r="H425">
        <v>0.10811110062954681</v>
      </c>
      <c r="I425">
        <v>1.5568459328120621E-2</v>
      </c>
      <c r="J425">
        <v>-4.6640873563644977E-2</v>
      </c>
      <c r="K425">
        <v>91</v>
      </c>
      <c r="M425">
        <f t="shared" si="18"/>
        <v>149.96882185658816</v>
      </c>
      <c r="N425">
        <f t="shared" si="19"/>
        <v>-58.968821856588164</v>
      </c>
      <c r="O425">
        <f t="shared" si="20"/>
        <v>3477.3219511540301</v>
      </c>
    </row>
    <row r="426" spans="1:15" x14ac:dyDescent="0.25">
      <c r="A426">
        <v>1.750521923228816E-3</v>
      </c>
      <c r="B426">
        <v>5.0680118739818619E-2</v>
      </c>
      <c r="C426">
        <v>1.1039039046285689E-2</v>
      </c>
      <c r="D426">
        <v>-1.9441826196154439E-2</v>
      </c>
      <c r="E426">
        <v>-1.6704441260423579E-2</v>
      </c>
      <c r="F426">
        <v>-3.8190651205349999E-3</v>
      </c>
      <c r="G426">
        <v>-4.7082483456111851E-2</v>
      </c>
      <c r="H426">
        <v>3.4308858877726729E-2</v>
      </c>
      <c r="I426">
        <v>2.4055085357995651E-2</v>
      </c>
      <c r="J426">
        <v>2.377494398854077E-2</v>
      </c>
      <c r="K426">
        <v>111</v>
      </c>
      <c r="M426">
        <f t="shared" si="18"/>
        <v>168.6203675636776</v>
      </c>
      <c r="N426">
        <f t="shared" si="19"/>
        <v>-57.620367563677604</v>
      </c>
      <c r="O426">
        <f t="shared" si="20"/>
        <v>3320.10675817331</v>
      </c>
    </row>
    <row r="427" spans="1:15" x14ac:dyDescent="0.25">
      <c r="A427">
        <v>-7.8165323999198427E-2</v>
      </c>
      <c r="B427">
        <v>-4.4641636506989137E-2</v>
      </c>
      <c r="C427">
        <v>-4.0695940499992672E-2</v>
      </c>
      <c r="D427">
        <v>-8.141314376144114E-2</v>
      </c>
      <c r="E427">
        <v>-0.1006375656106919</v>
      </c>
      <c r="F427">
        <v>-0.1127947298232931</v>
      </c>
      <c r="G427">
        <v>2.2868634821540029E-2</v>
      </c>
      <c r="H427">
        <v>-7.6394503750003298E-2</v>
      </c>
      <c r="I427">
        <v>-2.0292321339471359E-2</v>
      </c>
      <c r="J427">
        <v>-5.0782980478479442E-2</v>
      </c>
      <c r="K427">
        <v>152</v>
      </c>
      <c r="M427">
        <f t="shared" si="18"/>
        <v>90.421001625850437</v>
      </c>
      <c r="N427">
        <f t="shared" si="19"/>
        <v>61.578998374149563</v>
      </c>
      <c r="O427">
        <f t="shared" si="20"/>
        <v>3791.9730407635147</v>
      </c>
    </row>
    <row r="428" spans="1:15" x14ac:dyDescent="0.25">
      <c r="A428">
        <v>3.0810829531384181E-2</v>
      </c>
      <c r="B428">
        <v>5.0680118739818619E-2</v>
      </c>
      <c r="C428">
        <v>-3.422906805670789E-2</v>
      </c>
      <c r="D428">
        <v>4.3665632191162519E-2</v>
      </c>
      <c r="E428">
        <v>5.7597013082436949E-2</v>
      </c>
      <c r="F428">
        <v>6.8831378014637096E-2</v>
      </c>
      <c r="G428">
        <v>-3.2355932239764087E-2</v>
      </c>
      <c r="H428">
        <v>5.7556565029550033E-2</v>
      </c>
      <c r="I428">
        <v>3.5458704223058572E-2</v>
      </c>
      <c r="J428">
        <v>8.5906547711057601E-2</v>
      </c>
      <c r="K428">
        <v>120</v>
      </c>
      <c r="M428">
        <f t="shared" si="18"/>
        <v>167.62284908245169</v>
      </c>
      <c r="N428">
        <f t="shared" si="19"/>
        <v>-47.622849082451694</v>
      </c>
      <c r="O428">
        <f t="shared" si="20"/>
        <v>2267.9357547299701</v>
      </c>
    </row>
    <row r="429" spans="1:15" x14ac:dyDescent="0.25">
      <c r="A429">
        <v>-3.4574862586965391E-2</v>
      </c>
      <c r="B429">
        <v>5.0680118739818619E-2</v>
      </c>
      <c r="C429">
        <v>5.6499786768816887E-3</v>
      </c>
      <c r="D429">
        <v>-5.67042229275739E-3</v>
      </c>
      <c r="E429">
        <v>-7.3118508446669533E-2</v>
      </c>
      <c r="F429">
        <v>-6.2690975936967555E-2</v>
      </c>
      <c r="G429">
        <v>-6.584467611155497E-3</v>
      </c>
      <c r="H429">
        <v>-3.9493382874093291E-2</v>
      </c>
      <c r="I429">
        <v>-4.5424037735137687E-2</v>
      </c>
      <c r="J429">
        <v>3.2059157818209678E-2</v>
      </c>
      <c r="K429">
        <v>67</v>
      </c>
      <c r="M429">
        <f t="shared" si="18"/>
        <v>129.74942883093004</v>
      </c>
      <c r="N429">
        <f t="shared" si="19"/>
        <v>-62.749428830930043</v>
      </c>
      <c r="O429">
        <f t="shared" si="20"/>
        <v>3937.4908186079547</v>
      </c>
    </row>
    <row r="430" spans="1:15" x14ac:dyDescent="0.25">
      <c r="A430">
        <v>4.8973521786481282E-2</v>
      </c>
      <c r="B430">
        <v>5.0680118739818619E-2</v>
      </c>
      <c r="C430">
        <v>8.8641508365703281E-2</v>
      </c>
      <c r="D430">
        <v>8.7286554055172674E-2</v>
      </c>
      <c r="E430">
        <v>3.5581767351219019E-2</v>
      </c>
      <c r="F430">
        <v>2.1545960284417309E-2</v>
      </c>
      <c r="G430">
        <v>-2.4992656631590209E-2</v>
      </c>
      <c r="H430">
        <v>3.4308858877726729E-2</v>
      </c>
      <c r="I430">
        <v>6.6050666582092341E-2</v>
      </c>
      <c r="J430">
        <v>0.1314697237742366</v>
      </c>
      <c r="K430">
        <v>310</v>
      </c>
      <c r="M430">
        <f t="shared" si="18"/>
        <v>265.85340540263689</v>
      </c>
      <c r="N430">
        <f t="shared" si="19"/>
        <v>44.146594597363105</v>
      </c>
      <c r="O430">
        <f t="shared" si="20"/>
        <v>1948.9218145439293</v>
      </c>
    </row>
    <row r="431" spans="1:15" x14ac:dyDescent="0.25">
      <c r="A431">
        <v>-4.1839939489004233E-2</v>
      </c>
      <c r="B431">
        <v>-4.4641636506989137E-2</v>
      </c>
      <c r="C431">
        <v>-3.3151255982827067E-2</v>
      </c>
      <c r="D431">
        <v>-2.2884677172003699E-2</v>
      </c>
      <c r="E431">
        <v>4.6589390216827987E-2</v>
      </c>
      <c r="F431">
        <v>4.1587461838947563E-2</v>
      </c>
      <c r="G431">
        <v>5.6003375058322508E-2</v>
      </c>
      <c r="H431">
        <v>-2.4732934523729291E-2</v>
      </c>
      <c r="I431">
        <v>-2.5953110560258001E-2</v>
      </c>
      <c r="J431">
        <v>-3.8356659733976069E-2</v>
      </c>
      <c r="K431">
        <v>94</v>
      </c>
      <c r="M431">
        <f t="shared" si="18"/>
        <v>111.03282644887398</v>
      </c>
      <c r="N431">
        <f t="shared" si="19"/>
        <v>-17.032826448873976</v>
      </c>
      <c r="O431">
        <f t="shared" si="20"/>
        <v>290.11717683746087</v>
      </c>
    </row>
    <row r="432" spans="1:15" x14ac:dyDescent="0.25">
      <c r="A432">
        <v>-9.1470934298294448E-3</v>
      </c>
      <c r="B432">
        <v>-4.4641636506989137E-2</v>
      </c>
      <c r="C432">
        <v>-5.6863121608204649E-2</v>
      </c>
      <c r="D432">
        <v>-5.0427484978797787E-2</v>
      </c>
      <c r="E432">
        <v>2.1822238769207809E-2</v>
      </c>
      <c r="F432">
        <v>4.5345243380421993E-2</v>
      </c>
      <c r="G432">
        <v>-2.867429443567714E-2</v>
      </c>
      <c r="H432">
        <v>3.4308858877726729E-2</v>
      </c>
      <c r="I432">
        <v>-9.9187655693341367E-3</v>
      </c>
      <c r="J432">
        <v>-1.764612515980379E-2</v>
      </c>
      <c r="K432">
        <v>183</v>
      </c>
      <c r="M432">
        <f t="shared" si="18"/>
        <v>102.69249885585056</v>
      </c>
      <c r="N432">
        <f t="shared" si="19"/>
        <v>80.307501144149441</v>
      </c>
      <c r="O432">
        <f t="shared" si="20"/>
        <v>6449.2947400175635</v>
      </c>
    </row>
    <row r="433" spans="1:15" x14ac:dyDescent="0.25">
      <c r="A433">
        <v>7.07687524925978E-2</v>
      </c>
      <c r="B433">
        <v>5.0680118739818619E-2</v>
      </c>
      <c r="C433">
        <v>-3.0995631835065481E-2</v>
      </c>
      <c r="D433">
        <v>2.18723855140367E-2</v>
      </c>
      <c r="E433">
        <v>-3.7343734133440387E-2</v>
      </c>
      <c r="F433">
        <v>-4.7033552847490813E-2</v>
      </c>
      <c r="G433">
        <v>3.3913548233800862E-2</v>
      </c>
      <c r="H433">
        <v>-3.9493382874093291E-2</v>
      </c>
      <c r="I433">
        <v>-1.495969381264341E-2</v>
      </c>
      <c r="J433">
        <v>-1.0776975004659669E-3</v>
      </c>
      <c r="K433">
        <v>66</v>
      </c>
      <c r="M433">
        <f t="shared" si="18"/>
        <v>129.47892882274439</v>
      </c>
      <c r="N433">
        <f t="shared" si="19"/>
        <v>-63.478928822744393</v>
      </c>
      <c r="O433">
        <f t="shared" si="20"/>
        <v>4029.574404483049</v>
      </c>
    </row>
    <row r="434" spans="1:15" x14ac:dyDescent="0.25">
      <c r="A434">
        <v>9.0155988252676577E-3</v>
      </c>
      <c r="B434">
        <v>-4.4641636506989137E-2</v>
      </c>
      <c r="C434">
        <v>5.5229334075398477E-2</v>
      </c>
      <c r="D434">
        <v>-5.67042229275739E-3</v>
      </c>
      <c r="E434">
        <v>5.7597013082436949E-2</v>
      </c>
      <c r="F434">
        <v>4.4718946456842913E-2</v>
      </c>
      <c r="G434">
        <v>-2.9028298070685561E-3</v>
      </c>
      <c r="H434">
        <v>2.3238522614953731E-2</v>
      </c>
      <c r="I434">
        <v>5.5686226414565061E-2</v>
      </c>
      <c r="J434">
        <v>0.1066170822852299</v>
      </c>
      <c r="K434">
        <v>173</v>
      </c>
      <c r="M434">
        <f t="shared" si="18"/>
        <v>215.63036981395365</v>
      </c>
      <c r="N434">
        <f t="shared" si="19"/>
        <v>-42.630369813953649</v>
      </c>
      <c r="O434">
        <f t="shared" si="20"/>
        <v>1817.3484304744504</v>
      </c>
    </row>
    <row r="435" spans="1:15" x14ac:dyDescent="0.25">
      <c r="A435">
        <v>-2.7309785684926549E-2</v>
      </c>
      <c r="B435">
        <v>-4.4641636506989137E-2</v>
      </c>
      <c r="C435">
        <v>-6.0096557829847061E-2</v>
      </c>
      <c r="D435">
        <v>-2.9770379123702222E-2</v>
      </c>
      <c r="E435">
        <v>4.6589390216827987E-2</v>
      </c>
      <c r="F435">
        <v>1.998021797546963E-2</v>
      </c>
      <c r="G435">
        <v>0.12227285553188751</v>
      </c>
      <c r="H435">
        <v>-3.9493382874093291E-2</v>
      </c>
      <c r="I435">
        <v>-5.1403873047272987E-2</v>
      </c>
      <c r="J435">
        <v>-9.3619113301348783E-3</v>
      </c>
      <c r="K435">
        <v>72</v>
      </c>
      <c r="M435">
        <f t="shared" si="18"/>
        <v>80.762613495189584</v>
      </c>
      <c r="N435">
        <f t="shared" si="19"/>
        <v>-8.7626134951895835</v>
      </c>
      <c r="O435">
        <f t="shared" si="20"/>
        <v>76.783395266078614</v>
      </c>
    </row>
    <row r="436" spans="1:15" x14ac:dyDescent="0.25">
      <c r="A436">
        <v>1.6280675727306501E-2</v>
      </c>
      <c r="B436">
        <v>-4.4641636506989137E-2</v>
      </c>
      <c r="C436">
        <v>1.338730381358506E-3</v>
      </c>
      <c r="D436">
        <v>8.1009816106396553E-3</v>
      </c>
      <c r="E436">
        <v>5.3108044707943572E-3</v>
      </c>
      <c r="F436">
        <v>1.089891258357315E-2</v>
      </c>
      <c r="G436">
        <v>3.0231910429713921E-2</v>
      </c>
      <c r="H436">
        <v>-3.9493382874093291E-2</v>
      </c>
      <c r="I436">
        <v>-4.5424037735137687E-2</v>
      </c>
      <c r="J436">
        <v>3.2059157818209678E-2</v>
      </c>
      <c r="K436">
        <v>49</v>
      </c>
      <c r="M436">
        <f t="shared" si="18"/>
        <v>130.77760783341461</v>
      </c>
      <c r="N436">
        <f t="shared" si="19"/>
        <v>-81.777607833414606</v>
      </c>
      <c r="O436">
        <f t="shared" si="20"/>
        <v>6687.5771429557544</v>
      </c>
    </row>
    <row r="437" spans="1:15" x14ac:dyDescent="0.25">
      <c r="A437">
        <v>-1.2779631880848869E-2</v>
      </c>
      <c r="B437">
        <v>-4.4641636506989137E-2</v>
      </c>
      <c r="C437">
        <v>-2.345094731789989E-2</v>
      </c>
      <c r="D437">
        <v>-4.0098932051250001E-2</v>
      </c>
      <c r="E437">
        <v>-1.6704441260423579E-2</v>
      </c>
      <c r="F437">
        <v>4.6359433477824504E-3</v>
      </c>
      <c r="G437">
        <v>-1.762938102341632E-2</v>
      </c>
      <c r="H437">
        <v>-2.592261998183278E-3</v>
      </c>
      <c r="I437">
        <v>-3.8459717341126382E-2</v>
      </c>
      <c r="J437">
        <v>-3.8356659733976069E-2</v>
      </c>
      <c r="K437">
        <v>64</v>
      </c>
      <c r="M437">
        <f t="shared" si="18"/>
        <v>107.56692479067165</v>
      </c>
      <c r="N437">
        <f t="shared" si="19"/>
        <v>-43.566924790671649</v>
      </c>
      <c r="O437">
        <f t="shared" si="20"/>
        <v>1898.07693571604</v>
      </c>
    </row>
    <row r="438" spans="1:15" x14ac:dyDescent="0.25">
      <c r="A438">
        <v>-5.6370093293081923E-2</v>
      </c>
      <c r="B438">
        <v>-4.4641636506989137E-2</v>
      </c>
      <c r="C438">
        <v>-7.4108114790297469E-2</v>
      </c>
      <c r="D438">
        <v>-5.0427484978797787E-2</v>
      </c>
      <c r="E438">
        <v>-2.4960158409630302E-2</v>
      </c>
      <c r="F438">
        <v>-4.7033552847490813E-2</v>
      </c>
      <c r="G438">
        <v>9.2819753099191923E-2</v>
      </c>
      <c r="H438">
        <v>-7.6394503750003298E-2</v>
      </c>
      <c r="I438">
        <v>-6.1175799045152628E-2</v>
      </c>
      <c r="J438">
        <v>-4.6640873563644977E-2</v>
      </c>
      <c r="K438">
        <v>48</v>
      </c>
      <c r="M438">
        <f t="shared" si="18"/>
        <v>58.681864647465474</v>
      </c>
      <c r="N438">
        <f t="shared" si="19"/>
        <v>-10.681864647465474</v>
      </c>
      <c r="O438">
        <f t="shared" si="20"/>
        <v>114.10223234677269</v>
      </c>
    </row>
    <row r="439" spans="1:15" x14ac:dyDescent="0.25">
      <c r="A439">
        <v>4.170844488444244E-2</v>
      </c>
      <c r="B439">
        <v>5.0680118739818619E-2</v>
      </c>
      <c r="C439">
        <v>1.9661535637332091E-2</v>
      </c>
      <c r="D439">
        <v>5.9743746248378582E-2</v>
      </c>
      <c r="E439">
        <v>-5.6968183948146092E-3</v>
      </c>
      <c r="F439">
        <v>-2.5664712733768648E-3</v>
      </c>
      <c r="G439">
        <v>-2.867429443567714E-2</v>
      </c>
      <c r="H439">
        <v>-2.592261998183278E-3</v>
      </c>
      <c r="I439">
        <v>3.119260220159616E-2</v>
      </c>
      <c r="J439">
        <v>7.206516329202944E-3</v>
      </c>
      <c r="K439">
        <v>178</v>
      </c>
      <c r="M439">
        <f t="shared" si="18"/>
        <v>194.59490021183052</v>
      </c>
      <c r="N439">
        <f t="shared" si="19"/>
        <v>-16.59490021183052</v>
      </c>
      <c r="O439">
        <f t="shared" si="20"/>
        <v>275.39071304061264</v>
      </c>
    </row>
    <row r="440" spans="1:15" x14ac:dyDescent="0.25">
      <c r="A440">
        <v>-5.5145549788100249E-3</v>
      </c>
      <c r="B440">
        <v>5.0680118739818619E-2</v>
      </c>
      <c r="C440">
        <v>-1.5906262800734299E-2</v>
      </c>
      <c r="D440">
        <v>-6.7641739858044087E-2</v>
      </c>
      <c r="E440">
        <v>4.9341295933230229E-2</v>
      </c>
      <c r="F440">
        <v>7.9165277253691754E-2</v>
      </c>
      <c r="G440">
        <v>-2.867429443567714E-2</v>
      </c>
      <c r="H440">
        <v>3.4308858877726729E-2</v>
      </c>
      <c r="I440">
        <v>-1.8113692315690318E-2</v>
      </c>
      <c r="J440">
        <v>4.4485478562713038E-2</v>
      </c>
      <c r="K440">
        <v>104</v>
      </c>
      <c r="M440">
        <f t="shared" si="18"/>
        <v>120.13325036494108</v>
      </c>
      <c r="N440">
        <f t="shared" si="19"/>
        <v>-16.133250364941077</v>
      </c>
      <c r="O440">
        <f t="shared" si="20"/>
        <v>260.28176733787137</v>
      </c>
    </row>
    <row r="441" spans="1:15" x14ac:dyDescent="0.25">
      <c r="A441">
        <v>4.170844488444244E-2</v>
      </c>
      <c r="B441">
        <v>5.0680118739818619E-2</v>
      </c>
      <c r="C441">
        <v>-1.5906262800734299E-2</v>
      </c>
      <c r="D441">
        <v>1.729339371615719E-2</v>
      </c>
      <c r="E441">
        <v>-3.7343734133440387E-2</v>
      </c>
      <c r="F441">
        <v>-1.3839815897800129E-2</v>
      </c>
      <c r="G441">
        <v>-2.4992656631590209E-2</v>
      </c>
      <c r="H441">
        <v>-1.1079519799642581E-2</v>
      </c>
      <c r="I441">
        <v>-4.6882534152731581E-2</v>
      </c>
      <c r="J441">
        <v>1.549073015887186E-2</v>
      </c>
      <c r="K441">
        <v>132</v>
      </c>
      <c r="M441">
        <f t="shared" si="18"/>
        <v>123.73715655682027</v>
      </c>
      <c r="N441">
        <f t="shared" si="19"/>
        <v>8.2628434431797331</v>
      </c>
      <c r="O441">
        <f t="shared" si="20"/>
        <v>68.274581766498301</v>
      </c>
    </row>
    <row r="442" spans="1:15" x14ac:dyDescent="0.25">
      <c r="A442">
        <v>-4.5472477940023653E-2</v>
      </c>
      <c r="B442">
        <v>-4.4641636506989137E-2</v>
      </c>
      <c r="C442">
        <v>3.9062152967186493E-2</v>
      </c>
      <c r="D442">
        <v>1.2152796589411331E-3</v>
      </c>
      <c r="E442">
        <v>1.6318427336403318E-2</v>
      </c>
      <c r="F442">
        <v>1.528299104862663E-2</v>
      </c>
      <c r="G442">
        <v>-2.867429443567714E-2</v>
      </c>
      <c r="H442">
        <v>2.6559623493785631E-2</v>
      </c>
      <c r="I442">
        <v>4.4528728819971129E-2</v>
      </c>
      <c r="J442">
        <v>-2.5930338989472699E-2</v>
      </c>
      <c r="K442">
        <v>220</v>
      </c>
      <c r="M442">
        <f t="shared" si="18"/>
        <v>198.40966281892173</v>
      </c>
      <c r="N442">
        <f t="shared" si="19"/>
        <v>21.590337181078269</v>
      </c>
      <c r="O442">
        <f t="shared" si="20"/>
        <v>466.14265959265072</v>
      </c>
    </row>
    <row r="443" spans="1:15" x14ac:dyDescent="0.25">
      <c r="A443">
        <v>-4.5472477940023653E-2</v>
      </c>
      <c r="B443">
        <v>-4.4641636506989137E-2</v>
      </c>
      <c r="C443">
        <v>-7.3030302716416653E-2</v>
      </c>
      <c r="D443">
        <v>-8.141314376144114E-2</v>
      </c>
      <c r="E443">
        <v>8.3740117388258248E-2</v>
      </c>
      <c r="F443">
        <v>2.7808929520208012E-2</v>
      </c>
      <c r="G443">
        <v>0.17381578478910459</v>
      </c>
      <c r="H443">
        <v>-3.9493382874093291E-2</v>
      </c>
      <c r="I443">
        <v>-4.2215139381076502E-3</v>
      </c>
      <c r="J443">
        <v>3.064409414368488E-3</v>
      </c>
      <c r="K443">
        <v>57</v>
      </c>
      <c r="M443">
        <f t="shared" si="18"/>
        <v>83.702318422385233</v>
      </c>
      <c r="N443">
        <f t="shared" si="19"/>
        <v>-26.702318422385233</v>
      </c>
      <c r="O443">
        <f t="shared" si="20"/>
        <v>713.01380913045375</v>
      </c>
    </row>
    <row r="446" spans="1:15" ht="15.75" thickBot="1" x14ac:dyDescent="0.3">
      <c r="A446" s="3">
        <v>152.133484162896</v>
      </c>
      <c r="B446" s="3">
        <v>0</v>
      </c>
      <c r="C446" s="3">
        <v>0</v>
      </c>
      <c r="D446" s="3">
        <v>585.32819646231076</v>
      </c>
      <c r="E446" s="3">
        <v>257.9021148982676</v>
      </c>
      <c r="F446" s="3">
        <v>0</v>
      </c>
      <c r="G446" s="3">
        <v>0</v>
      </c>
      <c r="H446" s="3">
        <v>0</v>
      </c>
      <c r="I446" s="3">
        <v>68.080170243066036</v>
      </c>
      <c r="J446" s="3">
        <v>496.65860277573171</v>
      </c>
      <c r="K446" s="4">
        <v>31.823109328272732</v>
      </c>
    </row>
    <row r="447" spans="1:15" x14ac:dyDescent="0.25">
      <c r="A447" t="s">
        <v>11</v>
      </c>
      <c r="B447">
        <v>10.008848676554642</v>
      </c>
      <c r="C447">
        <v>239.23149924837762</v>
      </c>
      <c r="D447">
        <v>517.1010860603152</v>
      </c>
      <c r="E447">
        <v>323.31587078668508</v>
      </c>
      <c r="F447">
        <v>785.80168683759507</v>
      </c>
      <c r="G447">
        <v>474.43053454892976</v>
      </c>
      <c r="H447">
        <v>100.93956703607705</v>
      </c>
      <c r="I447">
        <v>176.74480311539858</v>
      </c>
      <c r="J447">
        <v>745.54096019959422</v>
      </c>
      <c r="K447">
        <v>67.580241246357573</v>
      </c>
    </row>
    <row r="449" spans="1:2" x14ac:dyDescent="0.25">
      <c r="A449" t="s">
        <v>15</v>
      </c>
      <c r="B449">
        <v>442</v>
      </c>
    </row>
    <row r="450" spans="1:2" x14ac:dyDescent="0.25">
      <c r="A450" t="s">
        <v>16</v>
      </c>
      <c r="B450">
        <f>AVERAGE(O2:O443)</f>
        <v>3074.1786805469901</v>
      </c>
    </row>
    <row r="451" spans="1:2" x14ac:dyDescent="0.25">
      <c r="A451" t="s">
        <v>17</v>
      </c>
      <c r="B451">
        <v>1E-4</v>
      </c>
    </row>
    <row r="452" spans="1:2" x14ac:dyDescent="0.25">
      <c r="A452" t="s">
        <v>18</v>
      </c>
      <c r="B452">
        <f xml:space="preserve"> $B$451 * SUM(B447:K447)</f>
        <v>0.34406950977558853</v>
      </c>
    </row>
    <row r="453" spans="1:2" x14ac:dyDescent="0.25">
      <c r="A453" t="s">
        <v>19</v>
      </c>
      <c r="B453">
        <f>B450+B452</f>
        <v>3074.5227500567657</v>
      </c>
    </row>
  </sheetData>
  <scenarios current="0">
    <scenario name="lambda = 0.0001" count="20" user="ALOK" comment="Created by ALOK on 9/16/2025">
      <inputCells r="B446" val="0"/>
      <inputCells r="C446" val="0"/>
      <inputCells r="D446" val="585.287948533744"/>
      <inputCells r="E446" val="257.81264510838"/>
      <inputCells r="F446" val="0"/>
      <inputCells r="G446" val="0"/>
      <inputCells r="H446" val="0"/>
      <inputCells r="I446" val="67.9566637544767"/>
      <inputCells r="J446" val="496.610459803333"/>
      <inputCells r="K446" val="32.1855063729309"/>
      <inputCells r="B447" val="9.88322217269619"/>
      <inputCells r="C447" val="167.118632546163"/>
      <inputCells r="D447" val="178.248378447573"/>
      <inputCells r="E447" val="191.373955663621"/>
      <inputCells r="F447" val="0"/>
      <inputCells r="G447" val="189.446657258321"/>
      <inputCells r="H447" val="88.1377878797307"/>
      <inputCells r="I447" val="137.43394987999"/>
      <inputCells r="J447" val="37.8282401581206"/>
      <inputCells r="K447" val="61.8458461851987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"/>
  <sheetViews>
    <sheetView workbookViewId="0">
      <selection activeCell="B1" sqref="B1:K1"/>
    </sheetView>
  </sheetViews>
  <sheetFormatPr defaultRowHeight="15" x14ac:dyDescent="0.25"/>
  <sheetData>
    <row r="1" spans="2:11" x14ac:dyDescent="0.25">
      <c r="B1">
        <v>0</v>
      </c>
      <c r="C1">
        <v>0</v>
      </c>
      <c r="D1">
        <v>585.32609919521906</v>
      </c>
      <c r="E1">
        <v>257.89706596139285</v>
      </c>
      <c r="F1">
        <v>0</v>
      </c>
      <c r="G1">
        <v>0</v>
      </c>
      <c r="H1">
        <v>0</v>
      </c>
      <c r="I1">
        <v>68.075539002966266</v>
      </c>
      <c r="J1">
        <v>496.65335573697018</v>
      </c>
      <c r="K1">
        <v>31.846160390498781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</dc:creator>
  <cp:lastModifiedBy>ALOK</cp:lastModifiedBy>
  <dcterms:created xsi:type="dcterms:W3CDTF">2025-09-16T01:17:00Z</dcterms:created>
  <dcterms:modified xsi:type="dcterms:W3CDTF">2025-09-16T01:55:54Z</dcterms:modified>
</cp:coreProperties>
</file>